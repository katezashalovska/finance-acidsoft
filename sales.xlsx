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Model" sheetId="1" r:id="rId5"/>
    <sheet state="visible" name="CRM" sheetId="2" r:id="rId6"/>
    <sheet state="visible" name="Upwork Statistics" sheetId="3" r:id="rId7"/>
    <sheet state="visible" name="Upwork January-March" sheetId="4" r:id="rId8"/>
    <sheet state="visible" name="Upwork April" sheetId="5" r:id="rId9"/>
    <sheet state="visible" name="Linkedin April" sheetId="6" r:id="rId10"/>
  </sheets>
  <definedNames/>
  <calcPr/>
</workbook>
</file>

<file path=xl/sharedStrings.xml><?xml version="1.0" encoding="utf-8"?>
<sst xmlns="http://schemas.openxmlformats.org/spreadsheetml/2006/main" count="710" uniqueCount="515">
  <si>
    <t xml:space="preserve"> </t>
  </si>
  <si>
    <t>January</t>
  </si>
  <si>
    <t>Kate</t>
  </si>
  <si>
    <t>Hired Upwork</t>
  </si>
  <si>
    <t>Cost (по всім контрактам)</t>
  </si>
  <si>
    <t>Хайред LinkedIn</t>
  </si>
  <si>
    <t>Кількість партнерів</t>
  </si>
  <si>
    <t>Кількість заявок на партнерство</t>
  </si>
  <si>
    <t>Ліди з партнерки</t>
  </si>
  <si>
    <t>Хайред партнерка</t>
  </si>
  <si>
    <t>Хайред total</t>
  </si>
  <si>
    <t>Коментарі / Примітки</t>
  </si>
  <si>
    <t>Oleksandr</t>
  </si>
  <si>
    <t>Illya</t>
  </si>
  <si>
    <t>Total 2025</t>
  </si>
  <si>
    <t>2025 organic</t>
  </si>
  <si>
    <t>2025 boosted</t>
  </si>
  <si>
    <t>10 sep - 9 dec</t>
  </si>
  <si>
    <t xml:space="preserve">Proposals Upwork </t>
  </si>
  <si>
    <t>Кількість холодних лідів (Upwork)</t>
  </si>
  <si>
    <t>Кількість гарячих лідів (Upwork)</t>
  </si>
  <si>
    <t>Website Inbound</t>
  </si>
  <si>
    <t>Ім'я Клієнта</t>
  </si>
  <si>
    <t>Дата контакту</t>
  </si>
  <si>
    <t>Компанія / Проект</t>
  </si>
  <si>
    <t>Нагода / Тип проекту</t>
  </si>
  <si>
    <t>LinkedIn</t>
  </si>
  <si>
    <t>Мейл</t>
  </si>
  <si>
    <t>Статус</t>
  </si>
  <si>
    <t>Бюджет / Вартість</t>
  </si>
  <si>
    <t>Номер телефону</t>
  </si>
  <si>
    <t>Mohammad Al-sharif</t>
  </si>
  <si>
    <t>Taxi App Development</t>
  </si>
  <si>
    <t>Mobile app dev</t>
  </si>
  <si>
    <t>🟢 Угода</t>
  </si>
  <si>
    <t>—</t>
  </si>
  <si>
    <t>Були питання з STC Pay та API URL</t>
  </si>
  <si>
    <t>Fahad Alyami</t>
  </si>
  <si>
    <t>POS Android</t>
  </si>
  <si>
    <t>Reverse engineer</t>
  </si>
  <si>
    <t>❌ Відмова / Зник</t>
  </si>
  <si>
    <t>Обмеження моб. топ-ап</t>
  </si>
  <si>
    <t>Richard Jue</t>
  </si>
  <si>
    <t>Body Breakthrough</t>
  </si>
  <si>
    <t>Wear OS Data Layer</t>
  </si>
  <si>
    <t>Інтеграція Flutter + WearOS, дата й час обговорень</t>
  </si>
  <si>
    <t>Farah Bouzankari</t>
  </si>
  <si>
    <t>Appointment App</t>
  </si>
  <si>
    <t>FlutterFlow / Firebase</t>
  </si>
  <si>
    <t>MVP + Stripe/PayPal інтеграція</t>
  </si>
  <si>
    <t>Andrii Mandryk</t>
  </si>
  <si>
    <t>Online Doctor Consultation</t>
  </si>
  <si>
    <t>FlutterFlow PoC</t>
  </si>
  <si>
    <t>$3200</t>
  </si>
  <si>
    <t>160 год, 4 тижні</t>
  </si>
  <si>
    <t>Adam Miller</t>
  </si>
  <si>
    <t>ReactNative Project</t>
  </si>
  <si>
    <t>Java/ReactNative</t>
  </si>
  <si>
    <t>40$/тиждень</t>
  </si>
  <si>
    <t>Google Meet, contract accepted</t>
  </si>
  <si>
    <t>Abdulganiyu Abubakar</t>
  </si>
  <si>
    <t>Taxi App</t>
  </si>
  <si>
    <t>$1200</t>
  </si>
  <si>
    <t>Milestones 1-3, Zoom meetings</t>
  </si>
  <si>
    <t>Gabriel Saint-Martin</t>
  </si>
  <si>
    <t>Everest</t>
  </si>
  <si>
    <t>Java developer</t>
  </si>
  <si>
    <t>CI/CD, Spring Boot, video resume</t>
  </si>
  <si>
    <t>Shant L</t>
  </si>
  <si>
    <t>Firebase App</t>
  </si>
  <si>
    <t>Backend dev</t>
  </si>
  <si>
    <t>Proof screenshots, video</t>
  </si>
  <si>
    <t>Mehul Darji</t>
  </si>
  <si>
    <t>Mobile App Redesign</t>
  </si>
  <si>
    <t>UI/UX Design</t>
  </si>
  <si>
    <t>$10 / сторінка</t>
  </si>
  <si>
    <t>Редизайн 1 сторінки, light/dark theme</t>
  </si>
  <si>
    <t>Ziyad Omar</t>
  </si>
  <si>
    <t>Football Analytics App</t>
  </si>
  <si>
    <t>UI/UX / Mobile App</t>
  </si>
  <si>
    <t>Пробний дизайн, AI-аналітика, gamification</t>
  </si>
  <si>
    <t>Fragkiskos Papathanasiou</t>
  </si>
  <si>
    <t>Technician Platform</t>
  </si>
  <si>
    <t>Java Backend</t>
  </si>
  <si>
    <t>Spring Boot, CRM інтеграція, staging</t>
  </si>
  <si>
    <t>Jason Stern</t>
  </si>
  <si>
    <t>FollowUpBoss Integration</t>
  </si>
  <si>
    <t>$2400</t>
  </si>
  <si>
    <t>Calendar + CRM sync, error handling</t>
  </si>
  <si>
    <t>Lloyd Lloyd</t>
  </si>
  <si>
    <t>Parental Control App</t>
  </si>
  <si>
    <t>Flutter Mobile App</t>
  </si>
  <si>
    <t>ScreenTime, credits logic, iOS/Android</t>
  </si>
  <si>
    <t>Katija Odoemelam</t>
  </si>
  <si>
    <t>Matching / RSVP App</t>
  </si>
  <si>
    <t>Flutter + Firebase</t>
  </si>
  <si>
    <t>Matching logic, calendar bugs</t>
  </si>
  <si>
    <t>Artjom Tuhe</t>
  </si>
  <si>
    <t>PilotDelivery</t>
  </si>
  <si>
    <t>$20/год</t>
  </si>
  <si>
    <t>BLoC, REST API, client + courier apps</t>
  </si>
  <si>
    <t>Nicholas Kanu</t>
  </si>
  <si>
    <t>Mobile App Completion</t>
  </si>
  <si>
    <t>Flutter / QA</t>
  </si>
  <si>
    <t>App Store + Google Play prep, QA</t>
  </si>
  <si>
    <t>Clayton Drew</t>
  </si>
  <si>
    <t>Mobile App Finalization</t>
  </si>
  <si>
    <t>Flutter</t>
  </si>
  <si>
    <t>Bugfix, release support</t>
  </si>
  <si>
    <t>Anas Salama</t>
  </si>
  <si>
    <t>Dev Center</t>
  </si>
  <si>
    <t>UI/UX Design (Figma, Dashboard)</t>
  </si>
  <si>
    <t>Part-time, 7 год</t>
  </si>
  <si>
    <t>Dashboard: search, upload, invite bot, library, action items. Багато ітерацій + клієнтський фідбек. Контракт поставили на паузу, потім закрили</t>
  </si>
  <si>
    <t>Artur Kritsak</t>
  </si>
  <si>
    <t>Sollo (Card Management)</t>
  </si>
  <si>
    <t>Mobile App Dev / UI Logic</t>
  </si>
  <si>
    <t>$15/год</t>
  </si>
  <si>
    <t>Drag&amp;Drop карток, локальне збереження, sync з беком, локації, NDA через Дію</t>
  </si>
  <si>
    <t>Riki Uehara</t>
  </si>
  <si>
    <t>B to J Pty Ltd / Receipt Maker</t>
  </si>
  <si>
    <t>Mobile App Dev (iOS UI updates)</t>
  </si>
  <si>
    <t>Оновлення іконок та UI для iOS, робота з senior dev, можливість довгострокової співпраці</t>
  </si>
  <si>
    <t>City Eats</t>
  </si>
  <si>
    <t>Mobile App + Admin Panel Enhancements</t>
  </si>
  <si>
    <t>$4800</t>
  </si>
  <si>
    <t>Аудит Android/iOS apps (Customer, Rider, Partner). Запропоновано Flutter + PHP backend, 1 місяць розробки. Очікування відповіді</t>
  </si>
  <si>
    <t>Abdul Hadwan</t>
  </si>
  <si>
    <t>Social App MVP</t>
  </si>
  <si>
    <t>iOS + Android App Dev</t>
  </si>
  <si>
    <t>$3000</t>
  </si>
  <si>
    <t>MVP соцмережі: auth, events, chat, subscriptions (RevenueCat). 4 milestones по $750. Успішно задеплоєно в App Store та Google Play</t>
  </si>
  <si>
    <t>Ajay Singh</t>
  </si>
  <si>
    <t>Purple Dot Digital / Fliprly</t>
  </si>
  <si>
    <t>Android App Dev (clone iOS)</t>
  </si>
  <si>
    <t>Оцінка Android-версії Fliprly (Java). Пропозиція: 4 міс $20/год або 2 міс $40/год. Проєкт віддали іншому деву</t>
  </si>
  <si>
    <t>Rhonda Lavoie</t>
  </si>
  <si>
    <t>Paced (Wellness App)</t>
  </si>
  <si>
    <t>Android App Dev (Kotlin, sensors)</t>
  </si>
  <si>
    <t>$10 000 (estimate)</t>
  </si>
  <si>
    <t>Детальний proposal: usage tracking, overlays, Health Connect, timers. Не пройшли shortlist</t>
  </si>
  <si>
    <t>Meshal Alkhaldi</t>
  </si>
  <si>
    <t>Virtual Stock Portfolio</t>
  </si>
  <si>
    <t>Web App / Backend</t>
  </si>
  <si>
    <t>~$5000</t>
  </si>
  <si>
    <t>MVP портфеля акцій (Tadawul, RTL, SAR). Очікування відповіді після ціни</t>
  </si>
  <si>
    <t>Daniel Marshall</t>
  </si>
  <si>
    <t>Football Training App</t>
  </si>
  <si>
    <t>Mobile App (Video + AI)</t>
  </si>
  <si>
    <t>~$2000</t>
  </si>
  <si>
    <t>Training app: відео, прогрес, AI feedback. Option 1 (без сенсорів). Кілька follow-up без відповіді</t>
  </si>
  <si>
    <t>Giorgi Magradze</t>
  </si>
  <si>
    <t>Comfort Option (Smart Home / Doorbell)</t>
  </si>
  <si>
    <t>Flutter + WebRTC + Kinesis Video</t>
  </si>
  <si>
    <t>$750</t>
  </si>
  <si>
    <t>Milestone 1: VoIP / CallKit / WebRTC. Основний флоу працює, issue з accept-call виявлено на Flutter стороні. Код пушнуто в main. Payment released</t>
  </si>
  <si>
    <t>Benjamin Jensen</t>
  </si>
  <si>
    <t>Dating App</t>
  </si>
  <si>
    <t>Mobile App + UI/UX Redesign</t>
  </si>
  <si>
    <t>~$600 (estimate)</t>
  </si>
  <si>
    <t>Початково dev допомога, пізніше UI/UX redesign. Очікується дизайн для редизайну існуючого застосунку</t>
  </si>
  <si>
    <t>Nijat Aliyev</t>
  </si>
  <si>
    <t>Mobile App (Calling Feature)</t>
  </si>
  <si>
    <t>WebRTC Voice/Video Calls</t>
  </si>
  <si>
    <t>Повнофункціональні voice/video calls (CallKit, FCM, history, localization 3 languages). Запропоновано 4 milestones, чекають фінального підтвердження</t>
  </si>
  <si>
    <t>Sid J</t>
  </si>
  <si>
    <t>Dashboard / Cards View</t>
  </si>
  <si>
    <t>Flutter + API Integration</t>
  </si>
  <si>
    <t>Dashboard grid (15 API calls), multiple cards, loader logic. Робота завершена, payment отримано, review залишено</t>
  </si>
  <si>
    <t>Corbin White</t>
  </si>
  <si>
    <t>ALNO AI Companion App</t>
  </si>
  <si>
    <t>Flutter + Node.js / Firebase</t>
  </si>
  <si>
    <t>Доступ до Firebase, repo. Надіслано proposal. Очікують рішення партнера після подорожі</t>
  </si>
  <si>
    <t>Mendy Neumann</t>
  </si>
  <si>
    <t>Laravel / Nova (PHP)</t>
  </si>
  <si>
    <t>~$25/год</t>
  </si>
  <si>
    <t>Потрібен PHP/Laravel/Nova dev. Запропонований кандидат відхилений через високий рейт. Попросив альтернативу</t>
  </si>
  <si>
    <t>Benjamin Lakin</t>
  </si>
  <si>
    <t>Tattoo Stencil App</t>
  </si>
  <si>
    <t>LiDAR-based iOS/Android app for tattoo artists</t>
  </si>
  <si>
    <t>$10,800 (fixed)</t>
  </si>
  <si>
    <t>MVP на iOS ~8 тижнів, Android ~9 тижнів. Очікування відгуку клієнта.</t>
  </si>
  <si>
    <t>Surj Strategy</t>
  </si>
  <si>
    <t>SoulX App</t>
  </si>
  <si>
    <t>Flutter Mobile Developer (iOS/Android) – Firebase &amp; API Integration</t>
  </si>
  <si>
    <t>Налаштування Google Play, RevenueCat, баг-фікси та UX правки. Клієнт затвердив деякі milestones.</t>
  </si>
  <si>
    <t>Sothes Llc</t>
  </si>
  <si>
    <t>Ingredient Analysis / Food Scan App</t>
  </si>
  <si>
    <t>iOS &amp; Android, Expo(React Native) + AI</t>
  </si>
  <si>
    <t>MVP $4,000</t>
  </si>
  <si>
    <t>Потрібен розробник для AI-функціоналу, OCR, Push, Supabase backend. Обговорення scope і доступу до Github.</t>
  </si>
  <si>
    <t>Exclusive Rentals Ltd</t>
  </si>
  <si>
    <t>Calendar web app repair</t>
  </si>
  <si>
    <t>Ремонт календаря, додати Sentry для логів. Клієнт схвалив роботи.</t>
  </si>
  <si>
    <t>Igor Dobrovolskiy</t>
  </si>
  <si>
    <t>OYD Productivity App</t>
  </si>
  <si>
    <t>Senior iOS Developer, AI-based MVP</t>
  </si>
  <si>
    <t>Кандидат зайняв позицію, контракт не відбувся.</t>
  </si>
  <si>
    <t>Paulo Mauro</t>
  </si>
  <si>
    <t>Business Networking Platform</t>
  </si>
  <si>
    <t>App MVP (Flutter)</t>
  </si>
  <si>
    <t>$9,600 (estimated, $20/h)</t>
  </si>
  <si>
    <t>Tinder-style matching logic, real-time messaging, user profiles. MVP ~12 тижнів.</t>
  </si>
  <si>
    <t>Fadi Mushahwar</t>
  </si>
  <si>
    <t>Poll/Community App</t>
  </si>
  <si>
    <t>Mobile App Developer iOS/Android</t>
  </si>
  <si>
    <t>Milestones: $500+$500</t>
  </si>
  <si>
    <t>Поліпшення UI/UX, like/follow/comment, subscription flow, WhatsApp підтримка.</t>
  </si>
  <si>
    <t>Stewart Adams</t>
  </si>
  <si>
    <t>Jan 18, 2026</t>
  </si>
  <si>
    <t>ROUTEZ – Truck Navigation App</t>
  </si>
  <si>
    <t>Mobile App, iOS/Android, CarPlay &amp; Android Auto, HERE Maps SDK</t>
  </si>
  <si>
    <t>Очистка legacy-коду (UIKit, DataBinding, ViewModels, Coroutines), інтеграція навігації та голосових підказок, оптимізація rerouting, UI/UX для водіїв</t>
  </si>
  <si>
    <t>Matthew Couperthwaite</t>
  </si>
  <si>
    <t>Jan 28, 2026</t>
  </si>
  <si>
    <t>K9 Genius – Design System</t>
  </si>
  <si>
    <t>Figma → Flutter/React/CSS, Design System</t>
  </si>
  <si>
    <t>🟠 Треба фолоу-апнути</t>
  </si>
  <si>
    <t>Створення scalable Design System, типографіка, кольори, компоненти, навігаційні іконки</t>
  </si>
  <si>
    <t>Brandon White</t>
  </si>
  <si>
    <t>Jan 17, 2026</t>
  </si>
  <si>
    <t>RVA BOOMBOX – CarPlay &amp; Android Auto</t>
  </si>
  <si>
    <t>iOS/Android Audio App Integration</t>
  </si>
  <si>
    <t>Інтеграція шоу та стрімів у CarPlay/Android Auto, збереження “tape deck” бренду, обмеження платформ</t>
  </si>
  <si>
    <t>Robert Norberciak</t>
  </si>
  <si>
    <t>Jan 7, 2026</t>
  </si>
  <si>
    <t>Mozaik Skin &amp; Body</t>
  </si>
  <si>
    <t>Mobile App MVP, Flutter, Backend API</t>
  </si>
  <si>
    <t>Milestone 1: $300; Milestone 2: $400</t>
  </si>
  <si>
    <t>MVP: Broadcast, інтеграція логіну/SSO, UI стани, обробка помилок, навігація</t>
  </si>
  <si>
    <t>Abdeldjallil Cherfaoui</t>
  </si>
  <si>
    <t>Dec 18, 2025</t>
  </si>
  <si>
    <t>Android 2D Module Replacement</t>
  </si>
  <si>
    <t>Android Developer, 2D/3D app, APK testing &amp; optimization</t>
  </si>
  <si>
    <t>Milestone 1: APK, $40 за surface fix, оптимізація ~8h/$120</t>
  </si>
  <si>
    <t>Crash після 12–20 рівня, неправильні площі фасадів/підлоги/даху, пропозиція export JPEG/PNG</t>
  </si>
  <si>
    <t>Elisaul Minaya</t>
  </si>
  <si>
    <t>Jan 2, 2026</t>
  </si>
  <si>
    <t>MagicPay Payment Integration</t>
  </si>
  <si>
    <t>FlutterFlow, API integration, PCI-compliant payments</t>
  </si>
  <si>
    <t>~$300</t>
  </si>
  <si>
    <t>Sandbox testing, frontend↔backend↔MagicPay, edge cases, secure flow</t>
  </si>
  <si>
    <t>Devasis Roy</t>
  </si>
  <si>
    <t>Jan 19, 2026</t>
  </si>
  <si>
    <t>Sports Club Training Booking App</t>
  </si>
  <si>
    <t>Flutter / AWS integration, MVP</t>
  </si>
  <si>
    <t>$2050 / 82h</t>
  </si>
  <si>
    <t>Auth/User Management/Admin Panel, Scheduling, Messaging, 1-on-1 bookings</t>
  </si>
  <si>
    <t>Ethan Cohen</t>
  </si>
  <si>
    <t>Dec 25, 2025</t>
  </si>
  <si>
    <t>Milam iOS App Backend + UI Polish</t>
  </si>
  <si>
    <t>iOS app, backend cleanup, booking, payments, chat, UI/UX polish</t>
  </si>
  <si>
    <t>~$4000 / 150–230h</t>
  </si>
  <si>
    <t>Auth system, Stripe/Apple Pay, Supabase, Admin Panel, QA</t>
  </si>
  <si>
    <t>Brett Robinson</t>
  </si>
  <si>
    <t>Jan 31, 2026</t>
  </si>
  <si>
    <t>Xpresslinks Flutter App</t>
  </si>
  <si>
    <t>Cross-platform, ML hand detection, video capture, AWS upload</t>
  </si>
  <si>
    <t>400h / ~$10,000 (оцінка 25$/h)</t>
  </si>
  <si>
    <t>Thermal management, background uploads, segmented recording, TensorFlow Lite integration</t>
  </si>
  <si>
    <t>Lauren Vu</t>
  </si>
  <si>
    <t>Feb 4, 2026</t>
  </si>
  <si>
    <t>DataWiz Chrome Extension</t>
  </si>
  <si>
    <t>UX/UI design for B2B sales intelligence tool</t>
  </si>
  <si>
    <t>Chrome extension UI, flexible anchors for LinkedIn DOM changes, Figma → dev-ready components</t>
  </si>
  <si>
    <t>Emmanuel G</t>
  </si>
  <si>
    <t>12.12.2025 – 09.02.2026</t>
  </si>
  <si>
    <t>EG</t>
  </si>
  <si>
    <t>Java developer with Facebook API experience</t>
  </si>
  <si>
    <t>Питання щодо GitHub (push до master), LinkedIn OAuth, Instagram через Facebook API, інтеграція X (Twitter), TikTok та Amazon Ads. Попередні кодові зміни перевірені та адаптовані.</t>
  </si>
  <si>
    <t>Julian Salles</t>
  </si>
  <si>
    <t>20.11.2025 – 09.02.2026</t>
  </si>
  <si>
    <t>Julian Salles Smooth Trailering</t>
  </si>
  <si>
    <t>FlutterFlow Developer, CarPlay + Android Auto</t>
  </si>
  <si>
    <t>Передано архів з кодом, контроль milestone CarPlay, затримка через Apple. Обговорення пост-MVP фази та зворотного зв’язку від клієнта.</t>
  </si>
  <si>
    <t>Jaber Badarne</t>
  </si>
  <si>
    <t>10.02.2026 – 11.02.2026</t>
  </si>
  <si>
    <t>Night Out</t>
  </si>
  <si>
    <t>React Native Developer Needed (Integration + App Store Deployment)</t>
  </si>
  <si>
    <t>$3,000</t>
  </si>
  <si>
    <t>Проведено Zoom-зустріч для оцінки обсягу роботи та узгодження початку. Чекін по файлах, підготовка до фінального спринту MVP.</t>
  </si>
  <si>
    <t>Rick Emery</t>
  </si>
  <si>
    <t>30.01.2026 – 14.02.2026</t>
  </si>
  <si>
    <t>Perfect Practice</t>
  </si>
  <si>
    <t>Flutter Developer for Youth Sports App (MVP)</t>
  </si>
  <si>
    <t>Фаза 1: 50% upfront / 50% on approval</t>
  </si>
  <si>
    <t>Обговорено оцінку годин (CRUD, Admin, League roles), Mobile-first vs Web, майбутня міграція Firestore → AWS, AI consent. Контроль підписання контракту та планування фінансування фази 1.</t>
  </si>
  <si>
    <t>Jordan Bridger</t>
  </si>
  <si>
    <t>13 Feb 2026</t>
  </si>
  <si>
    <t>Bridger Labs</t>
  </si>
  <si>
    <t>UX/UI аудит та поліпшення мобільного додатку (pre-launch)</t>
  </si>
  <si>
    <t>–</t>
  </si>
  <si>
    <t>Аудит UX, покращення інтерфейсу, Figma handoff</t>
  </si>
  <si>
    <t>Paul D</t>
  </si>
  <si>
    <t>31 Jan – 15 Feb 2026</t>
  </si>
  <si>
    <t>Bite Budget</t>
  </si>
  <si>
    <t>Розробка та UX/UI поліпшення, ASO, Insights, Milestones 4–5</t>
  </si>
  <si>
    <t>ASO: $180–210, Insights: $660</t>
  </si>
  <si>
    <t>Титули з “tap to reveal”, rolling 2-week diary, professional ASO screens</t>
  </si>
  <si>
    <t>Youssef Elaini</t>
  </si>
  <si>
    <t>22 Dec 2025</t>
  </si>
  <si>
    <t>EY Digital Media – Mad Muscles Clone</t>
  </si>
  <si>
    <t>Розробка MVP Flutter + UI/UX + Admin Panel</t>
  </si>
  <si>
    <t>~$7000 без backend, ~$8800 з backend</t>
  </si>
  <si>
    <t>Повний клон додатку, 5 фаз/мильстоунів, співпраця з внутрішнім backend</t>
  </si>
  <si>
    <t>Mohammed Rashid</t>
  </si>
  <si>
    <t>12 Jan 2026 – 19 Feb 2026</t>
  </si>
  <si>
    <t>Dr Tim Ltd</t>
  </si>
  <si>
    <t>Mobile App Development, Health Sector; QA &amp; Manual Testing for iOS/Android/Web</t>
  </si>
  <si>
    <t>QA fixed price: $480</t>
  </si>
  <si>
    <t>QA триває 3 дні для мобільних (iOS &amp; Android), 1 додатковий день для веб; паралельне виправлення багів $20/год; app build переведено з персонального на організаційний акаунт Google Play; домовлено про початок після підписання контракту</t>
  </si>
  <si>
    <t>Vias Pusk</t>
  </si>
  <si>
    <t>Two-User Role App</t>
  </si>
  <si>
    <t>Flutter MVP</t>
  </si>
  <si>
    <t>Заморожено</t>
  </si>
  <si>
    <t>$3,200–3,540</t>
  </si>
  <si>
    <t>MVP без монетизації/AI/адмінки; EN/RU; Android + iOS; чек відгуку від клієнта</t>
  </si>
  <si>
    <t>Kaitlin Afshari</t>
  </si>
  <si>
    <t>Excellent Me App</t>
  </si>
  <si>
    <t>UI/UX + Flow Analysis</t>
  </si>
  <si>
    <t>$400</t>
  </si>
  <si>
    <t>Виконано редизайн та структурування вправ; чек клієнта на остаточне підтвердження</t>
  </si>
  <si>
    <t>Emanuel Bachrach</t>
  </si>
  <si>
    <t>Focus Pledge App</t>
  </si>
  <si>
    <t>Android Kotlin MVP</t>
  </si>
  <si>
    <t>$650 (Milestones 2+3)</t>
  </si>
  <si>
    <t>Включає headless auth, готовий для release build; README handover включено; чек підтвердження від клієнта</t>
  </si>
  <si>
    <t>$2600</t>
  </si>
  <si>
    <t>Потрібен розробник для AI-функціоналу, OCR, Push, Supabase backend. Обговорення scope і доступу до Github. Знайшла того хто більше розуміється на скопі і підходить під бюджет + таймлайни</t>
  </si>
  <si>
    <t>Luigi Staffa</t>
  </si>
  <si>
    <t>24 Feb 2026</t>
  </si>
  <si>
    <t>UI/UX Designer Needed for Mockup Implementation</t>
  </si>
  <si>
    <t>Ми очікуємо на відповідь</t>
  </si>
  <si>
    <t>$1000</t>
  </si>
  <si>
    <t>UI/UX дизайнер выбран, тот кто лучше ориентировался и понимал проект. Заинтересованы вернуться к обсуждению разработки после готовности дизайна</t>
  </si>
  <si>
    <t>Gal Katz, Gal</t>
  </si>
  <si>
    <t>14 Feb 2026</t>
  </si>
  <si>
    <t>Creative UX/UI storytelling designer</t>
  </si>
  <si>
    <t xml:space="preserve">        Отправлены уточняющие вопросы по скоупу. Несколько фоллоуапов без ответа</t>
  </si>
  <si>
    <t>Conor Murphy</t>
  </si>
  <si>
    <t>Hospitality Marketplace App</t>
  </si>
  <si>
    <t>Mobile App (iOS / Android), Marketplace</t>
  </si>
  <si>
    <t>$6000</t>
  </si>
  <si>
    <t>Активное обсуждение MVP, архитектуры, Apple IAP vs EU Alternative Terms. Заинтересован, но решение не финализировано</t>
  </si>
  <si>
    <t xml:space="preserve">Andre Blackburn  </t>
  </si>
  <si>
    <t xml:space="preserve">Feb 18, 2026 </t>
  </si>
  <si>
    <t>Face|Off</t>
  </si>
  <si>
    <t>Flutter app – Comment section</t>
  </si>
  <si>
    <t>-</t>
  </si>
  <si>
    <t>TikTok-like video app. Need comments (nested, real-time), Firebase backend, Cloud Functions for notifications, comments toggle in settings. Est. 2–3 weeks. Zoom proposed. Ми овер естімейтнули проект бюджет занадто низький 200-300$, і клієнт очікував тиждень, а ми дали 3</t>
  </si>
  <si>
    <t>Amirthalakshmi B</t>
  </si>
  <si>
    <t>03 Mar 2026</t>
  </si>
  <si>
    <t>Parcero</t>
  </si>
  <si>
    <t>UX/UI Designer &amp; Graphic Designer (Remote)</t>
  </si>
  <si>
    <t>TBD</t>
  </si>
  <si>
    <t>20-хв Zoom. Обговорення довгострокової співпраці. Очікування фідбеку після дзвінка. Шукала індивід фрілансера а не агенцію</t>
  </si>
  <si>
    <t>Floor Overdevest</t>
  </si>
  <si>
    <t>Personeel.com</t>
  </si>
  <si>
    <t>Senior UX/UI Designer (MVP + Design System + Brand Book)</t>
  </si>
  <si>
    <t>$100 (Milestone 1)</t>
  </si>
  <si>
    <t>50-хв Zoom. Прийнято офер. MVP дизайн + дизайн-система + брендбук. Long-term hourly після тестового етапу.</t>
  </si>
  <si>
    <t>Tehseen Hassan</t>
  </si>
  <si>
    <t>AI Try-On SaaS Product</t>
  </si>
  <si>
    <t>Mobile-First UX/UI для data-heavy web/mobile продукту</t>
  </si>
  <si>
    <t>$20/hr</t>
  </si>
  <si>
    <t>3–4 міс., 15–20 год/тиждень. Фази: UX архітектура → Widget → Dashboards. Узгодження логіки перед стартом.</t>
  </si>
  <si>
    <t>Katy Ferguson</t>
  </si>
  <si>
    <t>17 Feb 2026</t>
  </si>
  <si>
    <t>Mobile App (NZ)</t>
  </si>
  <si>
    <t>Ongoing backend/frontend support + redesign + feature expansion</t>
  </si>
  <si>
    <t>$4000 $30/hr</t>
  </si>
  <si>
    <t>Нова співпраця після незадоволеності попередньою компанією. GitHub доступ надано. Запити: редизайн homepage, анімовані стікери (admin upload), video templates як CapCut. Потенційно довгострокова підтримка + feature development.</t>
  </si>
  <si>
    <t>Joy Camille Adamos</t>
  </si>
  <si>
    <t>08 Mar 2026</t>
  </si>
  <si>
    <t>Emperium Agency Client Account</t>
  </si>
  <si>
    <t>MVP Mobile App (Flutter + Firebase + UI Design)</t>
  </si>
  <si>
    <t>Потрібна команда: Flutter Dev, Firebase Backend Engineer, Designer. ~14–20 screens. Задає технічні питання по Firestore, real-time sync, recurring tasks, Care Score system. Потенційно довгострокова співпраця після MVP.</t>
  </si>
  <si>
    <t>Keisha Hatton</t>
  </si>
  <si>
    <t>04 Mar 2026</t>
  </si>
  <si>
    <t>Superyachts.com</t>
  </si>
  <si>
    <t>Senior UI Designer (Figma → Webflow/Framer)</t>
  </si>
  <si>
    <t>Проєкт з дуже коротким дедлайном (&lt;2 тижнів). Потрібно перевести Figma дизайн у responsive сайт та зібрати у Webflow/Framer. Запитали підтвердження availability та англійської.</t>
  </si>
  <si>
    <t>Yuriy Palamar Klymko</t>
  </si>
  <si>
    <t>TaxiApp (taxisapp.net)</t>
  </si>
  <si>
    <t>Доробка taxi-сервісу, GPS, ролі користувачів, Google Maps, Android app</t>
  </si>
  <si>
    <t>1000 EUR</t>
  </si>
  <si>
    <r>
      <rPr>
        <rFont val="Arial"/>
        <color theme="1"/>
      </rPr>
      <t xml:space="preserve">Проєкт частково реалізований на Replit. Потрібна інтеграція ролей (водій/клієнт/адмін), логіка тарифів, GPS-моніторинг, рейтинг, оплати, інвойси, Google Maps навігація, збірка Android та публікація в Google Play. </t>
    </r>
    <r>
      <rPr>
        <rFont val="Arial"/>
        <b/>
        <color theme="1"/>
      </rPr>
      <t>Оверестімейт</t>
    </r>
  </si>
  <si>
    <t>Dimitris Antoniou</t>
  </si>
  <si>
    <t>Employee Rewards &amp; Recognition Module</t>
  </si>
  <si>
    <t>Фінтех модуль для HR, Firestore, multi-tenant, Node.js backend, Web + Mobile</t>
  </si>
  <si>
    <t>$21000</t>
  </si>
  <si>
    <r>
      <rPr>
        <rFont val="Arial"/>
        <color theme="1"/>
      </rPr>
      <t xml:space="preserve">Пропозиція подана, детальна архітектура включає Firestore транзакції, безпеку, Cloud Functions, кешування, Riverpod, 6-8 тижнів/ </t>
    </r>
    <r>
      <rPr>
        <rFont val="Arial"/>
        <b/>
        <color theme="1"/>
      </rPr>
      <t>Оверестімейт</t>
    </r>
  </si>
  <si>
    <t>Hermann Paetzold</t>
  </si>
  <si>
    <t>Grandparent Transport App</t>
  </si>
  <si>
    <t>UI/UX + Flutter MVP, Leaflet.js, OpenStreetMap, доступність для 60-75 років</t>
  </si>
  <si>
    <t>$100</t>
  </si>
  <si>
    <r>
      <rPr>
        <rFont val="Arial"/>
        <color theme="1"/>
      </rPr>
      <t xml:space="preserve">Flutter + Firebase/Supabase, реальні таймзони для щоденного ресету, високий FPS, scalable дизайн. </t>
    </r>
    <r>
      <rPr>
        <rFont val="Arial"/>
        <b/>
        <color theme="1"/>
      </rPr>
      <t>Мы не шарим в дизайн системах, но нам дали тз. ТЗ проплатили в фулл работе отказали</t>
    </r>
  </si>
  <si>
    <t>Nathan Sasson</t>
  </si>
  <si>
    <t>App Development</t>
  </si>
  <si>
    <t>Flutter + Firebase мобільний додаток, масштабована архітектура, MVP</t>
  </si>
  <si>
    <t>$2000</t>
  </si>
  <si>
    <r>
      <rPr>
        <rFont val="Arial"/>
        <color theme="1"/>
      </rPr>
      <t xml:space="preserve">Орієнтовані на scalable архітектуру, інтеграція Firestore, перевірка цілісності даних, edge-cases, Flutter + Firebase експертиза. </t>
    </r>
    <r>
      <rPr>
        <rFont val="Arial"/>
        <b/>
        <color theme="1"/>
      </rPr>
      <t>Бюджет занизкий для нас не вышли на звонок вечером сказали что готовы только завтра. Когда спросили про ценность дали дефолт ответ с чата гпт</t>
    </r>
  </si>
  <si>
    <t>Chandan M</t>
  </si>
  <si>
    <t>25 Mar 2026</t>
  </si>
  <si>
    <t>On-demand Cleaning App Mobile app (Flutter + Firebase, booking, payments, tracking)</t>
  </si>
  <si>
    <t>Eugene R</t>
  </si>
  <si>
    <t>24 Mar 2026</t>
  </si>
  <si>
    <t>Logistics Tracking App</t>
  </si>
  <si>
    <t>React Native app (background GPS tracking + Firebase)</t>
  </si>
  <si>
    <t>$25/hr (пропозиція)</t>
  </si>
  <si>
    <t>Критично важливий background tracking (iOS/Android). Надано детальний технічний підхід + estimation 6–8 тижнів. Відправлений follow-up, відповіді поки немає.</t>
  </si>
  <si>
    <t>Lior Zochovizky</t>
  </si>
  <si>
    <t>21 Mar 2026</t>
  </si>
  <si>
    <t>Crochet Subscription App</t>
  </si>
  <si>
    <t>MVP → production (Lovable → mobile, subscriptions, analytics)</t>
  </si>
  <si>
    <t>Проведено дзвінок. Клієнт відмовився через “довгий” timeline (очікував ~3 дні). Потенційно повернеться, якщо змінить очікування.</t>
  </si>
  <si>
    <t>Mykyta Rakov</t>
  </si>
  <si>
    <t>Fintech App (Biometric Auth Fix)</t>
  </si>
  <si>
    <t>Android Dev (Kotlin, Jetpack, Biometric)</t>
  </si>
  <si>
    <t>Fixed price (under 4h)</t>
  </si>
  <si>
    <t>Issue with BiometricPrompt + EncryptedSharedPreferences (token decryption). Команда не має достатнього досвіду з біометрією, високий ризик за короткий час</t>
  </si>
  <si>
    <t>Can Manis</t>
  </si>
  <si>
    <t>Closed Community Platform (GDPR Social App)</t>
  </si>
  <si>
    <t>Full MVP (RN + Backend, Chat, Events, Widgets, GDPR)</t>
  </si>
  <si>
    <t>$2,400 fixed</t>
  </si>
  <si>
    <t>Хоче full MVP з 5 модулями + scalable до 50k users + 3 місяці підтримки. Вимагає high-end стек (PostGIS, MMKV, Fabric). Бюджет сильно занижений (~$7/hr). Запропоновано 2 опції: frontend-only ($2.4k) або full-stack ($4.8–5k). Потенційно складний клієнт з високими вимогами</t>
  </si>
  <si>
    <t>Valter Duarte</t>
  </si>
  <si>
    <t>Oceantia, Lda</t>
  </si>
  <si>
    <t>App UI/UX – Lost Item Ticket Flow (Passenger/Driver/Admin)</t>
  </si>
  <si>
    <t>$300–$400 (estimate)</t>
  </si>
  <si>
    <t>Обсуждение UX flow для lost item системы (как в Uber). Предложен smart ticket + driver flow + admin dashboard. Клиент дал doc с требованиями, активно вовлечён, обсуждает варианты (shipping vs drop-off). Есть продуктовое мышление, но переживает за нагрузку на водителей</t>
  </si>
  <si>
    <t>Peter Frank</t>
  </si>
  <si>
    <t xml:space="preserve">Meta Ads Tracking Expert (Facebook SDK + CAPI) for iOS Mobile App — Live Audit + Fix
</t>
  </si>
  <si>
    <t>Abigail Eliott</t>
  </si>
  <si>
    <t>KLOSE Ltd</t>
  </si>
  <si>
    <t xml:space="preserve">Senior Full-Stack Mobile App Advisor
</t>
  </si>
  <si>
    <t>🟡 В діалозі</t>
  </si>
  <si>
    <t>Mansur Kuchkarov</t>
  </si>
  <si>
    <t>A-Intelligence</t>
  </si>
  <si>
    <t>Senior Product Designer (Mobile App, AI-first, Full-time, Urgent)</t>
  </si>
  <si>
    <t>https://www.linkedin.com/in/kuchkarov/</t>
  </si>
  <si>
    <t>mansur.kuchkarov@gmail.com</t>
  </si>
  <si>
    <t>Date</t>
  </si>
  <si>
    <t>Apr 12 - Apr 18</t>
  </si>
  <si>
    <t>Apr 19 - Apr 25</t>
  </si>
  <si>
    <t>Apr 26 - May 2</t>
  </si>
  <si>
    <t>May 5 - May 11</t>
  </si>
  <si>
    <t>May 12 - May 18</t>
  </si>
  <si>
    <t>May 19 - May 25</t>
  </si>
  <si>
    <t>May 26 - June 1</t>
  </si>
  <si>
    <t>June 2 - June 8</t>
  </si>
  <si>
    <t>June 9 - June 15</t>
  </si>
  <si>
    <t>June 16 - June 22</t>
  </si>
  <si>
    <t>June 23 - June 29</t>
  </si>
  <si>
    <t>June 30 - July 7</t>
  </si>
  <si>
    <t>July 7 - July 13</t>
  </si>
  <si>
    <t>July 21 - July 27</t>
  </si>
  <si>
    <t>July 28 - Aug 3</t>
  </si>
  <si>
    <t>Aug 4 - Aug 11</t>
  </si>
  <si>
    <t>Aug 12 - aug 15</t>
  </si>
  <si>
    <t>8 sep - 14 sep</t>
  </si>
  <si>
    <t>22 sep - 28 sep</t>
  </si>
  <si>
    <t>Sep 29 - Oct 5</t>
  </si>
  <si>
    <t>Oct 6 - Oct 13</t>
  </si>
  <si>
    <t>Oct 20 - oct 26</t>
  </si>
  <si>
    <t>oct 27 - nov 8</t>
  </si>
  <si>
    <t>Nov 17 - Nov 25</t>
  </si>
  <si>
    <t>Dec 1 - Dec 7</t>
  </si>
  <si>
    <t>Proposals</t>
  </si>
  <si>
    <t>Viewed</t>
  </si>
  <si>
    <t>Interview</t>
  </si>
  <si>
    <t>Hired</t>
  </si>
  <si>
    <t>Declined by client</t>
  </si>
  <si>
    <t>Connects</t>
  </si>
  <si>
    <t>Back connects</t>
  </si>
  <si>
    <t>Summary</t>
  </si>
  <si>
    <t>Percent of view</t>
  </si>
  <si>
    <t>Percent of interview</t>
  </si>
  <si>
    <t>05.01 - 11.01</t>
  </si>
  <si>
    <t>Hired a competitor</t>
  </si>
  <si>
    <t>5.01 - 11.01</t>
  </si>
  <si>
    <t>12.01 - 18.01</t>
  </si>
  <si>
    <t>19.01 - 25.01</t>
  </si>
  <si>
    <t>26.01 - 01.02</t>
  </si>
  <si>
    <t xml:space="preserve"> 02.02 - 08.02</t>
  </si>
  <si>
    <t>09.02 - 15.02</t>
  </si>
  <si>
    <t>16.02 - 22.02</t>
  </si>
  <si>
    <t>23.02- 01.03</t>
  </si>
  <si>
    <t>02.03 - 08.03</t>
  </si>
  <si>
    <t>09.03 - 15.03</t>
  </si>
  <si>
    <t>16.03 - 22.03</t>
  </si>
  <si>
    <t>23.03 - 29.03</t>
  </si>
  <si>
    <t>Hired us</t>
  </si>
  <si>
    <t>Connects Spent</t>
  </si>
  <si>
    <t>Bosted Profile</t>
  </si>
  <si>
    <t>30.03 - 05.04</t>
  </si>
  <si>
    <t>06.04 - 12.04</t>
  </si>
  <si>
    <t>Proposals Total</t>
  </si>
  <si>
    <t>Interviewed</t>
  </si>
  <si>
    <t>Proposals Oleksandr Sh.</t>
  </si>
  <si>
    <t>Proposals Oleksandr K.</t>
  </si>
  <si>
    <t>Invites for interview from client</t>
  </si>
  <si>
    <t>Connects Spend</t>
  </si>
  <si>
    <t>Connects Returned</t>
  </si>
  <si>
    <t>Boosted Proposal Spend</t>
  </si>
  <si>
    <t>Boosted Connects Refunded</t>
  </si>
  <si>
    <t>Bosted Profile Spend</t>
  </si>
  <si>
    <t>Added Extra Connects</t>
  </si>
  <si>
    <t>Percent of returned connects</t>
  </si>
  <si>
    <t>06.04-12.04</t>
  </si>
  <si>
    <t>14.04-17.04</t>
  </si>
  <si>
    <t>Connections Sent</t>
  </si>
  <si>
    <t>Accepted invitation</t>
  </si>
  <si>
    <t>Messages sent</t>
  </si>
  <si>
    <t>Replied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</si>
</sst>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.mm.yyyy"/>
  </numFmts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>
      <color rgb="FF181818"/>
      <name val="Neue Montreal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sz val="11.0"/>
      <color theme="1"/>
      <name val="Calibri"/>
    </font>
    <font>
      <sz val="12.0"/>
      <color theme="1"/>
      <name val="Calibri"/>
    </font>
    <font>
      <b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1" fillId="2" fontId="1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vertical="bottom"/>
    </xf>
    <xf borderId="1" fillId="3" fontId="1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readingOrder="0" vertical="bottom"/>
    </xf>
    <xf borderId="1" fillId="5" fontId="6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6" fontId="7" numFmtId="0" xfId="0" applyAlignment="1" applyBorder="1" applyFill="1" applyFont="1">
      <alignment horizontal="center" vertical="bottom"/>
    </xf>
    <xf borderId="1" fillId="0" fontId="8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7" fontId="2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8" fontId="2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10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12" numFmtId="10" xfId="0" applyAlignment="1" applyFont="1" applyNumberFormat="1">
      <alignment horizontal="center" vertical="bottom"/>
    </xf>
    <xf borderId="0" fillId="0" fontId="12" numFmtId="9" xfId="0" applyAlignment="1" applyFont="1" applyNumberFormat="1">
      <alignment horizontal="center" vertical="bottom"/>
    </xf>
    <xf borderId="0" fillId="0" fontId="4" numFmtId="10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readingOrder="0" vertical="bottom"/>
    </xf>
    <xf borderId="0" fillId="0" fontId="13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3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13" numFmtId="10" xfId="0" applyAlignment="1" applyFont="1" applyNumberFormat="1">
      <alignment horizontal="center" readingOrder="0" vertical="bottom"/>
    </xf>
    <xf borderId="0" fillId="0" fontId="13" numFmtId="10" xfId="0" applyAlignment="1" applyFont="1" applyNumberFormat="1">
      <alignment horizontal="center" vertical="bottom"/>
    </xf>
    <xf borderId="0" fillId="0" fontId="12" numFmtId="10" xfId="0" applyAlignment="1" applyFont="1" applyNumberFormat="1">
      <alignment vertical="bottom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horizontal="left" vertical="bottom"/>
    </xf>
    <xf borderId="0" fillId="0" fontId="1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12" numFmtId="0" xfId="0" applyAlignment="1" applyFont="1">
      <alignment horizontal="left" readingOrder="0" vertical="bottom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center" vertical="bottom"/>
    </xf>
    <xf borderId="0" fillId="0" fontId="13" numFmtId="10" xfId="0" applyAlignment="1" applyFont="1" applyNumberFormat="1">
      <alignment horizontal="center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13</xdr:row>
      <xdr:rowOff>66675</xdr:rowOff>
    </xdr:from>
    <xdr:ext cx="17706975" cy="7496175"/>
    <xdr:pic>
      <xdr:nvPicPr>
        <xdr:cNvPr id="134651037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ersoneel.com" TargetMode="External"/><Relationship Id="rId2" Type="http://schemas.openxmlformats.org/officeDocument/2006/relationships/hyperlink" Target="http://superyachts.com" TargetMode="External"/><Relationship Id="rId3" Type="http://schemas.openxmlformats.org/officeDocument/2006/relationships/hyperlink" Target="https://www.linkedin.com/in/kuchkarov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27.63"/>
  </cols>
  <sheetData>
    <row r="1">
      <c r="A1" s="1" t="s">
        <v>0</v>
      </c>
      <c r="B1" s="2" t="s">
        <v>1</v>
      </c>
      <c r="C1" s="3"/>
      <c r="D1" s="3"/>
      <c r="E1" s="3"/>
    </row>
    <row r="2">
      <c r="A2" s="4" t="s">
        <v>2</v>
      </c>
      <c r="B2" s="5"/>
      <c r="C2" s="6"/>
      <c r="D2" s="6"/>
      <c r="E2" s="6"/>
    </row>
    <row r="3">
      <c r="A3" s="7" t="s">
        <v>3</v>
      </c>
      <c r="B3" s="8">
        <v>2.0</v>
      </c>
      <c r="C3" s="6"/>
      <c r="D3" s="6"/>
      <c r="E3" s="6"/>
    </row>
    <row r="4">
      <c r="A4" s="9" t="s">
        <v>4</v>
      </c>
      <c r="B4" s="8">
        <v>20000.0</v>
      </c>
      <c r="C4" s="6"/>
      <c r="D4" s="6"/>
      <c r="E4" s="6"/>
    </row>
    <row r="5">
      <c r="A5" s="7" t="s">
        <v>5</v>
      </c>
      <c r="B5" s="10"/>
      <c r="C5" s="6"/>
      <c r="D5" s="6"/>
      <c r="E5" s="6"/>
    </row>
    <row r="6">
      <c r="A6" s="7" t="s">
        <v>6</v>
      </c>
      <c r="B6" s="10"/>
      <c r="C6" s="6"/>
      <c r="D6" s="6"/>
      <c r="E6" s="6"/>
    </row>
    <row r="7">
      <c r="A7" s="9" t="s">
        <v>7</v>
      </c>
      <c r="B7" s="10"/>
      <c r="C7" s="6"/>
      <c r="D7" s="6"/>
      <c r="E7" s="6"/>
    </row>
    <row r="8">
      <c r="A8" s="7" t="s">
        <v>8</v>
      </c>
      <c r="B8" s="10"/>
      <c r="C8" s="6"/>
      <c r="D8" s="6"/>
      <c r="E8" s="6"/>
    </row>
    <row r="9">
      <c r="A9" s="7" t="s">
        <v>9</v>
      </c>
      <c r="B9" s="10"/>
      <c r="C9" s="6"/>
      <c r="D9" s="6"/>
      <c r="E9" s="6"/>
    </row>
    <row r="10">
      <c r="A10" s="7" t="s">
        <v>10</v>
      </c>
      <c r="B10" s="10"/>
      <c r="C10" s="6"/>
      <c r="D10" s="6"/>
      <c r="E10" s="6"/>
    </row>
    <row r="11">
      <c r="A11" s="7" t="s">
        <v>11</v>
      </c>
      <c r="B11" s="10"/>
      <c r="C11" s="6"/>
      <c r="D11" s="6"/>
      <c r="E11" s="6"/>
    </row>
    <row r="12">
      <c r="A12" s="6"/>
      <c r="B12" s="6"/>
      <c r="C12" s="6"/>
      <c r="D12" s="6"/>
      <c r="E12" s="6"/>
    </row>
    <row r="13">
      <c r="B13" s="3"/>
      <c r="C13" s="3"/>
      <c r="D13" s="3"/>
      <c r="E13" s="3"/>
    </row>
    <row r="14">
      <c r="A14" s="11" t="s">
        <v>12</v>
      </c>
      <c r="B14" s="5"/>
      <c r="C14" s="6"/>
      <c r="D14" s="6"/>
      <c r="E14" s="6"/>
    </row>
    <row r="15">
      <c r="A15" s="7" t="s">
        <v>3</v>
      </c>
      <c r="B15" s="8">
        <v>3.0</v>
      </c>
      <c r="C15" s="6"/>
      <c r="D15" s="6"/>
      <c r="E15" s="6"/>
    </row>
    <row r="16">
      <c r="A16" s="9" t="s">
        <v>4</v>
      </c>
      <c r="B16" s="8">
        <v>1000.0</v>
      </c>
      <c r="C16" s="6"/>
      <c r="D16" s="6"/>
      <c r="E16" s="6"/>
    </row>
    <row r="17">
      <c r="A17" s="7" t="s">
        <v>5</v>
      </c>
      <c r="B17" s="8">
        <v>0.0</v>
      </c>
      <c r="C17" s="6"/>
      <c r="D17" s="6"/>
      <c r="E17" s="6"/>
    </row>
    <row r="18">
      <c r="A18" s="7" t="s">
        <v>6</v>
      </c>
      <c r="B18" s="8">
        <v>0.0</v>
      </c>
      <c r="C18" s="6"/>
      <c r="D18" s="6"/>
      <c r="E18" s="6"/>
    </row>
    <row r="19">
      <c r="A19" s="9" t="s">
        <v>7</v>
      </c>
      <c r="B19" s="8">
        <v>0.0</v>
      </c>
      <c r="C19" s="6"/>
      <c r="D19" s="6"/>
      <c r="E19" s="6"/>
    </row>
    <row r="20">
      <c r="A20" s="7" t="s">
        <v>8</v>
      </c>
      <c r="B20" s="8">
        <v>0.0</v>
      </c>
      <c r="C20" s="6"/>
      <c r="D20" s="6"/>
      <c r="E20" s="6"/>
    </row>
    <row r="21">
      <c r="A21" s="7" t="s">
        <v>9</v>
      </c>
      <c r="B21" s="8">
        <v>0.0</v>
      </c>
      <c r="C21" s="6"/>
      <c r="D21" s="6"/>
      <c r="E21" s="6"/>
    </row>
    <row r="22">
      <c r="A22" s="7" t="s">
        <v>10</v>
      </c>
      <c r="B22" s="8">
        <v>0.0</v>
      </c>
      <c r="C22" s="6"/>
      <c r="D22" s="6"/>
      <c r="E22" s="6"/>
    </row>
    <row r="23">
      <c r="A23" s="7" t="s">
        <v>11</v>
      </c>
      <c r="B23" s="10"/>
      <c r="C23" s="6"/>
      <c r="D23" s="6"/>
      <c r="E23" s="6"/>
    </row>
    <row r="24">
      <c r="A24" s="7" t="s">
        <v>10</v>
      </c>
      <c r="B24" s="10"/>
      <c r="C24" s="6"/>
      <c r="D24" s="6"/>
      <c r="E24" s="6"/>
    </row>
    <row r="25">
      <c r="A25" s="7" t="s">
        <v>11</v>
      </c>
      <c r="B25" s="10"/>
      <c r="C25" s="6"/>
      <c r="D25" s="6"/>
      <c r="E25" s="6"/>
    </row>
    <row r="26">
      <c r="A26" s="6"/>
      <c r="B26" s="6"/>
      <c r="C26" s="6"/>
      <c r="D26" s="6"/>
      <c r="E26" s="6"/>
    </row>
    <row r="27">
      <c r="B27" s="6"/>
      <c r="C27" s="6"/>
      <c r="D27" s="6"/>
      <c r="E27" s="6"/>
    </row>
    <row r="28">
      <c r="A28" s="12" t="s">
        <v>13</v>
      </c>
      <c r="B28" s="5"/>
      <c r="C28" s="6"/>
      <c r="D28" s="6"/>
      <c r="E28" s="6"/>
    </row>
    <row r="29">
      <c r="A29" s="7" t="s">
        <v>3</v>
      </c>
      <c r="B29" s="10"/>
      <c r="C29" s="6"/>
      <c r="D29" s="6"/>
      <c r="E29" s="6"/>
    </row>
    <row r="30">
      <c r="A30" s="9" t="s">
        <v>4</v>
      </c>
      <c r="B30" s="10"/>
      <c r="C30" s="6"/>
      <c r="D30" s="6"/>
      <c r="E30" s="6"/>
    </row>
    <row r="31">
      <c r="A31" s="7" t="s">
        <v>5</v>
      </c>
      <c r="B31" s="10"/>
      <c r="C31" s="6"/>
      <c r="D31" s="6"/>
      <c r="E31" s="6"/>
    </row>
    <row r="32">
      <c r="A32" s="7" t="s">
        <v>6</v>
      </c>
      <c r="B32" s="10"/>
      <c r="C32" s="6"/>
      <c r="D32" s="6"/>
      <c r="E32" s="6"/>
    </row>
    <row r="33">
      <c r="A33" s="9" t="s">
        <v>7</v>
      </c>
      <c r="B33" s="10"/>
      <c r="C33" s="6"/>
      <c r="D33" s="6"/>
      <c r="E33" s="6"/>
    </row>
    <row r="34">
      <c r="A34" s="7" t="s">
        <v>8</v>
      </c>
      <c r="B34" s="10"/>
      <c r="C34" s="6"/>
      <c r="D34" s="6"/>
      <c r="E34" s="6"/>
    </row>
    <row r="35">
      <c r="A35" s="7" t="s">
        <v>9</v>
      </c>
      <c r="B35" s="10"/>
      <c r="C35" s="6"/>
      <c r="D35" s="6"/>
      <c r="E35" s="6"/>
    </row>
    <row r="36">
      <c r="A36" s="7" t="s">
        <v>10</v>
      </c>
      <c r="B36" s="10"/>
      <c r="C36" s="6"/>
      <c r="D36" s="6"/>
      <c r="E36" s="6"/>
    </row>
    <row r="37">
      <c r="A37" s="7" t="s">
        <v>11</v>
      </c>
      <c r="B37" s="10"/>
      <c r="C37" s="6"/>
      <c r="D37" s="6"/>
      <c r="E37" s="6"/>
    </row>
    <row r="38">
      <c r="A38" s="7" t="s">
        <v>10</v>
      </c>
      <c r="B38" s="10"/>
      <c r="C38" s="6"/>
      <c r="D38" s="6"/>
      <c r="E38" s="6"/>
    </row>
    <row r="39">
      <c r="A39" s="7" t="s">
        <v>11</v>
      </c>
      <c r="B39" s="10"/>
      <c r="C39" s="6"/>
      <c r="D39" s="6"/>
      <c r="E39" s="6"/>
    </row>
    <row r="40">
      <c r="A40" s="6"/>
      <c r="B40" s="6"/>
      <c r="C40" s="6"/>
      <c r="D40" s="6"/>
      <c r="E40" s="6"/>
    </row>
    <row r="41">
      <c r="A41" s="6"/>
      <c r="B41" s="6"/>
      <c r="C41" s="6"/>
      <c r="D41" s="6"/>
      <c r="E41" s="6"/>
    </row>
    <row r="42">
      <c r="A42" s="13"/>
      <c r="B42" s="5" t="s">
        <v>14</v>
      </c>
      <c r="C42" s="5" t="s">
        <v>15</v>
      </c>
      <c r="D42" s="5" t="s">
        <v>16</v>
      </c>
      <c r="E42" s="14" t="s">
        <v>17</v>
      </c>
    </row>
    <row r="43">
      <c r="A43" s="14" t="s">
        <v>18</v>
      </c>
      <c r="B43" s="10">
        <v>579.0</v>
      </c>
      <c r="C43" s="10">
        <v>138.0</v>
      </c>
      <c r="D43" s="10">
        <v>441.0</v>
      </c>
      <c r="E43" s="10">
        <v>196.0</v>
      </c>
    </row>
    <row r="44">
      <c r="A44" s="14" t="s">
        <v>19</v>
      </c>
      <c r="B44" s="15">
        <v>206.0</v>
      </c>
      <c r="C44" s="10">
        <v>35.0</v>
      </c>
      <c r="D44" s="10">
        <v>171.0</v>
      </c>
      <c r="E44" s="10">
        <v>72.0</v>
      </c>
    </row>
    <row r="45">
      <c r="A45" s="14" t="s">
        <v>20</v>
      </c>
      <c r="B45" s="10">
        <v>80.0</v>
      </c>
      <c r="C45" s="10">
        <v>16.0</v>
      </c>
      <c r="D45" s="10">
        <v>64.0</v>
      </c>
      <c r="E45" s="10">
        <v>26.0</v>
      </c>
    </row>
    <row r="46">
      <c r="A46" s="14" t="s">
        <v>3</v>
      </c>
      <c r="B46" s="10">
        <v>16.0</v>
      </c>
      <c r="C46" s="10">
        <v>6.0</v>
      </c>
      <c r="D46" s="10">
        <v>10.0</v>
      </c>
      <c r="E46" s="10">
        <v>7.0</v>
      </c>
    </row>
    <row r="47">
      <c r="A47" s="16" t="s">
        <v>21</v>
      </c>
      <c r="B47" s="3"/>
      <c r="C47" s="3"/>
      <c r="D47" s="3"/>
      <c r="E4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5"/>
    <col customWidth="1" min="3" max="3" width="22.88"/>
    <col customWidth="1" min="4" max="4" width="31.38"/>
    <col customWidth="1" min="5" max="5" width="26.25"/>
    <col customWidth="1" min="6" max="6" width="20.25"/>
    <col customWidth="1" min="7" max="7" width="18.0"/>
    <col customWidth="1" min="8" max="8" width="45.63"/>
    <col customWidth="1" min="9" max="9" width="190.38"/>
    <col customWidth="1" min="10" max="10" width="43.13"/>
    <col customWidth="1" min="11" max="11" width="23.38"/>
  </cols>
  <sheetData>
    <row r="1">
      <c r="A1" s="17" t="s">
        <v>22</v>
      </c>
      <c r="B1" s="17" t="s">
        <v>23</v>
      </c>
      <c r="C1" s="17" t="s">
        <v>24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11</v>
      </c>
      <c r="J1" s="17" t="s">
        <v>30</v>
      </c>
    </row>
    <row r="2" ht="18.0" customHeight="1">
      <c r="A2" s="18" t="s">
        <v>31</v>
      </c>
      <c r="B2" s="19">
        <v>45726.0</v>
      </c>
      <c r="C2" s="18" t="s">
        <v>32</v>
      </c>
      <c r="D2" s="18" t="s">
        <v>33</v>
      </c>
      <c r="G2" s="18" t="s">
        <v>34</v>
      </c>
      <c r="H2" s="18" t="s">
        <v>35</v>
      </c>
      <c r="I2" s="18" t="s">
        <v>36</v>
      </c>
      <c r="J2" s="18"/>
    </row>
    <row r="3" ht="18.0" customHeight="1">
      <c r="A3" s="18" t="s">
        <v>37</v>
      </c>
      <c r="B3" s="19">
        <v>45768.0</v>
      </c>
      <c r="C3" s="18" t="s">
        <v>38</v>
      </c>
      <c r="D3" s="18" t="s">
        <v>39</v>
      </c>
      <c r="G3" s="18" t="s">
        <v>40</v>
      </c>
      <c r="H3" s="18" t="s">
        <v>35</v>
      </c>
      <c r="I3" s="18" t="s">
        <v>41</v>
      </c>
      <c r="J3" s="18"/>
    </row>
    <row r="4" ht="18.0" customHeight="1">
      <c r="A4" s="18" t="s">
        <v>42</v>
      </c>
      <c r="B4" s="19">
        <v>45772.0</v>
      </c>
      <c r="C4" s="18" t="s">
        <v>43</v>
      </c>
      <c r="D4" s="18" t="s">
        <v>44</v>
      </c>
      <c r="G4" s="18" t="s">
        <v>40</v>
      </c>
      <c r="H4" s="18" t="s">
        <v>35</v>
      </c>
      <c r="I4" s="18" t="s">
        <v>45</v>
      </c>
      <c r="J4" s="18"/>
    </row>
    <row r="5" ht="18.0" customHeight="1">
      <c r="A5" s="18" t="s">
        <v>46</v>
      </c>
      <c r="B5" s="19">
        <v>45776.0</v>
      </c>
      <c r="C5" s="18" t="s">
        <v>47</v>
      </c>
      <c r="D5" s="18" t="s">
        <v>48</v>
      </c>
      <c r="G5" s="18" t="s">
        <v>40</v>
      </c>
      <c r="H5" s="18" t="s">
        <v>35</v>
      </c>
      <c r="I5" s="18" t="s">
        <v>49</v>
      </c>
      <c r="J5" s="18"/>
    </row>
    <row r="6" ht="18.0" customHeight="1">
      <c r="A6" s="18" t="s">
        <v>50</v>
      </c>
      <c r="B6" s="19">
        <v>45929.0</v>
      </c>
      <c r="C6" s="18" t="s">
        <v>51</v>
      </c>
      <c r="D6" s="18" t="s">
        <v>52</v>
      </c>
      <c r="G6" s="18" t="s">
        <v>40</v>
      </c>
      <c r="H6" s="18" t="s">
        <v>53</v>
      </c>
      <c r="I6" s="18" t="s">
        <v>54</v>
      </c>
      <c r="J6" s="18"/>
    </row>
    <row r="7" ht="18.0" customHeight="1">
      <c r="A7" s="18" t="s">
        <v>55</v>
      </c>
      <c r="B7" s="19">
        <v>45782.0</v>
      </c>
      <c r="C7" s="18" t="s">
        <v>56</v>
      </c>
      <c r="D7" s="18" t="s">
        <v>57</v>
      </c>
      <c r="G7" s="18" t="s">
        <v>34</v>
      </c>
      <c r="H7" s="18" t="s">
        <v>58</v>
      </c>
      <c r="I7" s="18" t="s">
        <v>59</v>
      </c>
      <c r="J7" s="18"/>
    </row>
    <row r="8" ht="18.0" customHeight="1">
      <c r="A8" s="18" t="s">
        <v>60</v>
      </c>
      <c r="B8" s="19">
        <v>45781.0</v>
      </c>
      <c r="C8" s="18" t="s">
        <v>61</v>
      </c>
      <c r="D8" s="18" t="s">
        <v>33</v>
      </c>
      <c r="G8" s="18" t="s">
        <v>40</v>
      </c>
      <c r="H8" s="18" t="s">
        <v>62</v>
      </c>
      <c r="I8" s="18" t="s">
        <v>63</v>
      </c>
      <c r="J8" s="18"/>
    </row>
    <row r="9" ht="18.0" customHeight="1">
      <c r="A9" s="18" t="s">
        <v>64</v>
      </c>
      <c r="B9" s="19">
        <v>45785.0</v>
      </c>
      <c r="C9" s="18" t="s">
        <v>65</v>
      </c>
      <c r="D9" s="18" t="s">
        <v>66</v>
      </c>
      <c r="G9" s="18" t="s">
        <v>40</v>
      </c>
      <c r="H9" s="18" t="s">
        <v>35</v>
      </c>
      <c r="I9" s="18" t="s">
        <v>67</v>
      </c>
      <c r="J9" s="18"/>
    </row>
    <row r="10" ht="18.0" customHeight="1">
      <c r="A10" s="18" t="s">
        <v>68</v>
      </c>
      <c r="B10" s="19">
        <v>45800.0</v>
      </c>
      <c r="C10" s="18" t="s">
        <v>69</v>
      </c>
      <c r="D10" s="18" t="s">
        <v>70</v>
      </c>
      <c r="G10" s="18" t="s">
        <v>34</v>
      </c>
      <c r="H10" s="18" t="s">
        <v>35</v>
      </c>
      <c r="I10" s="18" t="s">
        <v>71</v>
      </c>
      <c r="J10" s="18"/>
    </row>
    <row r="11" ht="18.0" customHeight="1">
      <c r="A11" s="18" t="s">
        <v>72</v>
      </c>
      <c r="B11" s="19">
        <v>45930.0</v>
      </c>
      <c r="C11" s="18" t="s">
        <v>73</v>
      </c>
      <c r="D11" s="18" t="s">
        <v>74</v>
      </c>
      <c r="G11" s="18" t="s">
        <v>40</v>
      </c>
      <c r="H11" s="18" t="s">
        <v>75</v>
      </c>
      <c r="I11" s="18" t="s">
        <v>76</v>
      </c>
      <c r="J11" s="18"/>
    </row>
    <row r="12" ht="18.0" customHeight="1">
      <c r="A12" s="18" t="s">
        <v>77</v>
      </c>
      <c r="B12" s="19">
        <v>45933.0</v>
      </c>
      <c r="C12" s="18" t="s">
        <v>78</v>
      </c>
      <c r="D12" s="18" t="s">
        <v>79</v>
      </c>
      <c r="G12" s="18" t="s">
        <v>40</v>
      </c>
      <c r="H12" s="18" t="s">
        <v>35</v>
      </c>
      <c r="I12" s="18" t="s">
        <v>80</v>
      </c>
      <c r="J12" s="18"/>
    </row>
    <row r="13" ht="18.0" customHeight="1">
      <c r="A13" s="18" t="s">
        <v>81</v>
      </c>
      <c r="B13" s="19">
        <v>45936.0</v>
      </c>
      <c r="C13" s="18" t="s">
        <v>82</v>
      </c>
      <c r="D13" s="18" t="s">
        <v>83</v>
      </c>
      <c r="G13" s="18" t="s">
        <v>40</v>
      </c>
      <c r="H13" s="18" t="s">
        <v>35</v>
      </c>
      <c r="I13" s="18" t="s">
        <v>84</v>
      </c>
      <c r="J13" s="18"/>
    </row>
    <row r="14" ht="18.0" customHeight="1">
      <c r="A14" s="18" t="s">
        <v>85</v>
      </c>
      <c r="B14" s="19">
        <v>45924.0</v>
      </c>
      <c r="C14" s="18" t="s">
        <v>86</v>
      </c>
      <c r="D14" s="18" t="s">
        <v>83</v>
      </c>
      <c r="G14" s="18" t="s">
        <v>34</v>
      </c>
      <c r="H14" s="18" t="s">
        <v>87</v>
      </c>
      <c r="I14" s="18" t="s">
        <v>88</v>
      </c>
      <c r="J14" s="18"/>
    </row>
    <row r="15" ht="18.0" customHeight="1">
      <c r="A15" s="18" t="s">
        <v>89</v>
      </c>
      <c r="B15" s="19">
        <v>45911.0</v>
      </c>
      <c r="C15" s="18" t="s">
        <v>90</v>
      </c>
      <c r="D15" s="18" t="s">
        <v>91</v>
      </c>
      <c r="G15" s="18" t="s">
        <v>40</v>
      </c>
      <c r="H15" s="18" t="s">
        <v>35</v>
      </c>
      <c r="I15" s="18" t="s">
        <v>92</v>
      </c>
      <c r="J15" s="18"/>
    </row>
    <row r="16" ht="18.0" customHeight="1">
      <c r="A16" s="18" t="s">
        <v>93</v>
      </c>
      <c r="B16" s="19">
        <v>45941.0</v>
      </c>
      <c r="C16" s="18" t="s">
        <v>94</v>
      </c>
      <c r="D16" s="18" t="s">
        <v>95</v>
      </c>
      <c r="G16" s="18" t="s">
        <v>40</v>
      </c>
      <c r="H16" s="18" t="s">
        <v>35</v>
      </c>
      <c r="I16" s="18" t="s">
        <v>96</v>
      </c>
      <c r="J16" s="18"/>
    </row>
    <row r="17" ht="18.0" customHeight="1">
      <c r="A17" s="18" t="s">
        <v>97</v>
      </c>
      <c r="B17" s="19">
        <v>45944.0</v>
      </c>
      <c r="C17" s="18" t="s">
        <v>98</v>
      </c>
      <c r="D17" s="18" t="s">
        <v>91</v>
      </c>
      <c r="G17" s="18" t="s">
        <v>34</v>
      </c>
      <c r="H17" s="18" t="s">
        <v>99</v>
      </c>
      <c r="I17" s="18" t="s">
        <v>100</v>
      </c>
      <c r="J17" s="18"/>
    </row>
    <row r="18" ht="18.0" customHeight="1">
      <c r="A18" s="18" t="s">
        <v>101</v>
      </c>
      <c r="B18" s="19">
        <v>45955.0</v>
      </c>
      <c r="C18" s="18" t="s">
        <v>102</v>
      </c>
      <c r="D18" s="18" t="s">
        <v>103</v>
      </c>
      <c r="G18" s="18" t="s">
        <v>40</v>
      </c>
      <c r="H18" s="18" t="s">
        <v>35</v>
      </c>
      <c r="I18" s="18" t="s">
        <v>104</v>
      </c>
      <c r="J18" s="18"/>
    </row>
    <row r="19" ht="18.0" customHeight="1">
      <c r="A19" s="18" t="s">
        <v>105</v>
      </c>
      <c r="B19" s="19">
        <v>45955.0</v>
      </c>
      <c r="C19" s="18" t="s">
        <v>106</v>
      </c>
      <c r="D19" s="18" t="s">
        <v>107</v>
      </c>
      <c r="G19" s="18" t="s">
        <v>40</v>
      </c>
      <c r="H19" s="18" t="s">
        <v>35</v>
      </c>
      <c r="I19" s="18" t="s">
        <v>108</v>
      </c>
      <c r="J19" s="18"/>
    </row>
    <row r="20" ht="18.0" customHeight="1">
      <c r="A20" s="18" t="s">
        <v>109</v>
      </c>
      <c r="B20" s="19">
        <v>45944.0</v>
      </c>
      <c r="C20" s="18" t="s">
        <v>110</v>
      </c>
      <c r="D20" s="18" t="s">
        <v>111</v>
      </c>
      <c r="G20" s="18" t="s">
        <v>34</v>
      </c>
      <c r="H20" s="18" t="s">
        <v>112</v>
      </c>
      <c r="I20" s="18" t="s">
        <v>113</v>
      </c>
      <c r="J20" s="18"/>
    </row>
    <row r="21" ht="18.0" customHeight="1">
      <c r="A21" s="18" t="s">
        <v>114</v>
      </c>
      <c r="B21" s="19">
        <v>45804.0</v>
      </c>
      <c r="C21" s="18" t="s">
        <v>115</v>
      </c>
      <c r="D21" s="18" t="s">
        <v>116</v>
      </c>
      <c r="G21" s="18" t="s">
        <v>34</v>
      </c>
      <c r="H21" s="18" t="s">
        <v>117</v>
      </c>
      <c r="I21" s="18" t="s">
        <v>118</v>
      </c>
      <c r="J21" s="18"/>
    </row>
    <row r="22" ht="18.0" customHeight="1">
      <c r="A22" s="18" t="s">
        <v>119</v>
      </c>
      <c r="B22" s="19">
        <v>45910.0</v>
      </c>
      <c r="C22" s="18" t="s">
        <v>120</v>
      </c>
      <c r="D22" s="18" t="s">
        <v>121</v>
      </c>
      <c r="G22" s="18" t="s">
        <v>34</v>
      </c>
      <c r="H22" s="18" t="s">
        <v>117</v>
      </c>
      <c r="I22" s="18" t="s">
        <v>122</v>
      </c>
      <c r="J22" s="18"/>
    </row>
    <row r="23" ht="18.0" customHeight="1">
      <c r="A23" s="18" t="s">
        <v>123</v>
      </c>
      <c r="B23" s="19">
        <v>45988.0</v>
      </c>
      <c r="C23" s="18" t="s">
        <v>123</v>
      </c>
      <c r="D23" s="18" t="s">
        <v>124</v>
      </c>
      <c r="G23" s="18" t="s">
        <v>40</v>
      </c>
      <c r="H23" s="18" t="s">
        <v>125</v>
      </c>
      <c r="I23" s="18" t="s">
        <v>126</v>
      </c>
      <c r="J23" s="18"/>
    </row>
    <row r="24" ht="18.0" customHeight="1">
      <c r="A24" s="18" t="s">
        <v>127</v>
      </c>
      <c r="B24" s="19">
        <v>45915.0</v>
      </c>
      <c r="C24" s="18" t="s">
        <v>128</v>
      </c>
      <c r="D24" s="18" t="s">
        <v>129</v>
      </c>
      <c r="G24" s="18" t="s">
        <v>34</v>
      </c>
      <c r="H24" s="18" t="s">
        <v>130</v>
      </c>
      <c r="I24" s="18" t="s">
        <v>131</v>
      </c>
      <c r="J24" s="18"/>
    </row>
    <row r="25" ht="18.0" customHeight="1">
      <c r="A25" s="18" t="s">
        <v>132</v>
      </c>
      <c r="B25" s="19">
        <v>45761.0</v>
      </c>
      <c r="C25" s="18" t="s">
        <v>133</v>
      </c>
      <c r="D25" s="18" t="s">
        <v>134</v>
      </c>
      <c r="G25" s="18" t="s">
        <v>40</v>
      </c>
      <c r="H25" s="18" t="s">
        <v>35</v>
      </c>
      <c r="I25" s="18" t="s">
        <v>135</v>
      </c>
      <c r="J25" s="18"/>
    </row>
    <row r="26" ht="18.0" customHeight="1">
      <c r="A26" s="18" t="s">
        <v>136</v>
      </c>
      <c r="B26" s="19">
        <v>45862.0</v>
      </c>
      <c r="C26" s="18" t="s">
        <v>137</v>
      </c>
      <c r="D26" s="18" t="s">
        <v>138</v>
      </c>
      <c r="G26" s="18" t="s">
        <v>40</v>
      </c>
      <c r="H26" s="18" t="s">
        <v>139</v>
      </c>
      <c r="I26" s="18" t="s">
        <v>140</v>
      </c>
      <c r="J26" s="18"/>
    </row>
    <row r="27" ht="18.0" customHeight="1">
      <c r="A27" s="18" t="s">
        <v>141</v>
      </c>
      <c r="B27" s="19">
        <v>45926.0</v>
      </c>
      <c r="C27" s="18" t="s">
        <v>142</v>
      </c>
      <c r="D27" s="18" t="s">
        <v>143</v>
      </c>
      <c r="G27" s="18" t="s">
        <v>40</v>
      </c>
      <c r="H27" s="18" t="s">
        <v>144</v>
      </c>
      <c r="I27" s="18" t="s">
        <v>145</v>
      </c>
      <c r="J27" s="18"/>
    </row>
    <row r="28" ht="18.0" customHeight="1">
      <c r="A28" s="18" t="s">
        <v>146</v>
      </c>
      <c r="B28" s="19">
        <v>45951.0</v>
      </c>
      <c r="C28" s="18" t="s">
        <v>147</v>
      </c>
      <c r="D28" s="18" t="s">
        <v>148</v>
      </c>
      <c r="G28" s="18" t="s">
        <v>40</v>
      </c>
      <c r="H28" s="18" t="s">
        <v>149</v>
      </c>
      <c r="I28" s="18" t="s">
        <v>150</v>
      </c>
      <c r="J28" s="18"/>
    </row>
    <row r="29" ht="18.0" customHeight="1">
      <c r="A29" s="18" t="s">
        <v>151</v>
      </c>
      <c r="B29" s="19">
        <v>45973.0</v>
      </c>
      <c r="C29" s="18" t="s">
        <v>152</v>
      </c>
      <c r="D29" s="18" t="s">
        <v>153</v>
      </c>
      <c r="G29" s="18" t="s">
        <v>34</v>
      </c>
      <c r="H29" s="18" t="s">
        <v>154</v>
      </c>
      <c r="I29" s="18" t="s">
        <v>155</v>
      </c>
      <c r="J29" s="18"/>
    </row>
    <row r="30" ht="18.0" customHeight="1">
      <c r="A30" s="18" t="s">
        <v>156</v>
      </c>
      <c r="B30" s="19">
        <v>45951.0</v>
      </c>
      <c r="C30" s="18" t="s">
        <v>157</v>
      </c>
      <c r="D30" s="18" t="s">
        <v>158</v>
      </c>
      <c r="G30" s="18" t="s">
        <v>40</v>
      </c>
      <c r="H30" s="18" t="s">
        <v>159</v>
      </c>
      <c r="I30" s="18" t="s">
        <v>160</v>
      </c>
      <c r="J30" s="18"/>
    </row>
    <row r="31" ht="18.0" customHeight="1">
      <c r="A31" s="18" t="s">
        <v>161</v>
      </c>
      <c r="B31" s="19">
        <v>45999.0</v>
      </c>
      <c r="C31" s="18" t="s">
        <v>162</v>
      </c>
      <c r="D31" s="18" t="s">
        <v>163</v>
      </c>
      <c r="G31" s="18" t="s">
        <v>34</v>
      </c>
      <c r="H31" s="18" t="s">
        <v>130</v>
      </c>
      <c r="I31" s="18" t="s">
        <v>164</v>
      </c>
      <c r="J31" s="18"/>
    </row>
    <row r="32" ht="18.0" customHeight="1">
      <c r="A32" s="18" t="s">
        <v>165</v>
      </c>
      <c r="B32" s="19">
        <v>46012.0</v>
      </c>
      <c r="C32" s="18" t="s">
        <v>166</v>
      </c>
      <c r="D32" s="18" t="s">
        <v>167</v>
      </c>
      <c r="G32" s="18" t="s">
        <v>34</v>
      </c>
      <c r="H32" s="18" t="s">
        <v>35</v>
      </c>
      <c r="I32" s="18" t="s">
        <v>168</v>
      </c>
      <c r="J32" s="18"/>
    </row>
    <row r="33" ht="18.0" customHeight="1">
      <c r="A33" s="18" t="s">
        <v>169</v>
      </c>
      <c r="B33" s="19">
        <v>45992.0</v>
      </c>
      <c r="C33" s="18" t="s">
        <v>170</v>
      </c>
      <c r="D33" s="18" t="s">
        <v>171</v>
      </c>
      <c r="G33" s="18" t="s">
        <v>40</v>
      </c>
      <c r="H33" s="18" t="s">
        <v>35</v>
      </c>
      <c r="I33" s="18" t="s">
        <v>172</v>
      </c>
      <c r="J33" s="18"/>
    </row>
    <row r="34" ht="18.0" customHeight="1">
      <c r="A34" s="18" t="s">
        <v>173</v>
      </c>
      <c r="B34" s="19">
        <v>46014.0</v>
      </c>
      <c r="C34" s="18" t="s">
        <v>35</v>
      </c>
      <c r="D34" s="18" t="s">
        <v>174</v>
      </c>
      <c r="G34" s="18" t="s">
        <v>40</v>
      </c>
      <c r="H34" s="18" t="s">
        <v>175</v>
      </c>
      <c r="I34" s="18" t="s">
        <v>176</v>
      </c>
      <c r="J34" s="18"/>
    </row>
    <row r="35" ht="18.0" customHeight="1">
      <c r="A35" s="18" t="s">
        <v>177</v>
      </c>
      <c r="B35" s="19">
        <v>46014.0</v>
      </c>
      <c r="C35" s="18" t="s">
        <v>178</v>
      </c>
      <c r="D35" s="18" t="s">
        <v>179</v>
      </c>
      <c r="G35" s="18" t="s">
        <v>40</v>
      </c>
      <c r="H35" s="18" t="s">
        <v>180</v>
      </c>
      <c r="I35" s="18" t="s">
        <v>181</v>
      </c>
      <c r="J35" s="18"/>
    </row>
    <row r="36" ht="18.0" customHeight="1">
      <c r="A36" s="18" t="s">
        <v>182</v>
      </c>
      <c r="B36" s="19">
        <v>45918.0</v>
      </c>
      <c r="C36" s="18" t="s">
        <v>183</v>
      </c>
      <c r="D36" s="18" t="s">
        <v>184</v>
      </c>
      <c r="G36" s="18" t="s">
        <v>34</v>
      </c>
      <c r="H36" s="18" t="s">
        <v>35</v>
      </c>
      <c r="I36" s="18" t="s">
        <v>185</v>
      </c>
      <c r="J36" s="18"/>
    </row>
    <row r="37" ht="18.0" customHeight="1">
      <c r="A37" s="18" t="s">
        <v>186</v>
      </c>
      <c r="B37" s="19">
        <v>46021.0</v>
      </c>
      <c r="C37" s="18" t="s">
        <v>187</v>
      </c>
      <c r="D37" s="18" t="s">
        <v>188</v>
      </c>
      <c r="G37" s="18" t="s">
        <v>40</v>
      </c>
      <c r="H37" s="18" t="s">
        <v>189</v>
      </c>
      <c r="I37" s="18" t="s">
        <v>190</v>
      </c>
      <c r="J37" s="18"/>
    </row>
    <row r="38" ht="18.0" customHeight="1">
      <c r="A38" s="18" t="s">
        <v>85</v>
      </c>
      <c r="B38" s="19">
        <v>45971.0</v>
      </c>
      <c r="C38" s="18" t="s">
        <v>191</v>
      </c>
      <c r="D38" s="18" t="s">
        <v>192</v>
      </c>
      <c r="G38" s="18" t="s">
        <v>34</v>
      </c>
      <c r="H38" s="18" t="s">
        <v>35</v>
      </c>
      <c r="I38" s="18" t="s">
        <v>193</v>
      </c>
      <c r="J38" s="18"/>
    </row>
    <row r="39" ht="18.0" customHeight="1">
      <c r="A39" s="18" t="s">
        <v>194</v>
      </c>
      <c r="B39" s="19">
        <v>46009.0</v>
      </c>
      <c r="C39" s="18" t="s">
        <v>195</v>
      </c>
      <c r="D39" s="18" t="s">
        <v>196</v>
      </c>
      <c r="G39" s="18" t="s">
        <v>40</v>
      </c>
      <c r="H39" s="18" t="s">
        <v>35</v>
      </c>
      <c r="I39" s="18" t="s">
        <v>197</v>
      </c>
      <c r="J39" s="18"/>
    </row>
    <row r="40" ht="18.0" customHeight="1">
      <c r="A40" s="18" t="s">
        <v>198</v>
      </c>
      <c r="B40" s="19">
        <v>46039.0</v>
      </c>
      <c r="C40" s="18" t="s">
        <v>199</v>
      </c>
      <c r="D40" s="18" t="s">
        <v>200</v>
      </c>
      <c r="G40" s="18" t="s">
        <v>40</v>
      </c>
      <c r="H40" s="18" t="s">
        <v>201</v>
      </c>
      <c r="I40" s="18" t="s">
        <v>202</v>
      </c>
      <c r="J40" s="18"/>
    </row>
    <row r="41" ht="18.0" customHeight="1">
      <c r="A41" s="18" t="s">
        <v>203</v>
      </c>
      <c r="B41" s="19">
        <v>45952.0</v>
      </c>
      <c r="C41" s="18" t="s">
        <v>204</v>
      </c>
      <c r="D41" s="18" t="s">
        <v>205</v>
      </c>
      <c r="G41" s="18" t="s">
        <v>34</v>
      </c>
      <c r="H41" s="18" t="s">
        <v>206</v>
      </c>
      <c r="I41" s="18" t="s">
        <v>207</v>
      </c>
      <c r="J41" s="18"/>
    </row>
    <row r="42" ht="18.0" customHeight="1">
      <c r="A42" s="18" t="s">
        <v>208</v>
      </c>
      <c r="B42" s="20" t="s">
        <v>209</v>
      </c>
      <c r="C42" s="18" t="s">
        <v>210</v>
      </c>
      <c r="D42" s="18" t="s">
        <v>211</v>
      </c>
      <c r="G42" s="18" t="s">
        <v>34</v>
      </c>
      <c r="H42" s="18" t="s">
        <v>35</v>
      </c>
      <c r="I42" s="18" t="s">
        <v>212</v>
      </c>
      <c r="J42" s="18"/>
    </row>
    <row r="43" ht="18.0" customHeight="1">
      <c r="A43" s="18" t="s">
        <v>213</v>
      </c>
      <c r="B43" s="20" t="s">
        <v>214</v>
      </c>
      <c r="C43" s="18" t="s">
        <v>215</v>
      </c>
      <c r="D43" s="18" t="s">
        <v>216</v>
      </c>
      <c r="G43" s="18" t="s">
        <v>217</v>
      </c>
      <c r="H43" s="18" t="s">
        <v>35</v>
      </c>
      <c r="I43" s="18" t="s">
        <v>218</v>
      </c>
      <c r="J43" s="18"/>
    </row>
    <row r="44" ht="18.0" customHeight="1">
      <c r="A44" s="18" t="s">
        <v>219</v>
      </c>
      <c r="B44" s="20" t="s">
        <v>220</v>
      </c>
      <c r="C44" s="18" t="s">
        <v>221</v>
      </c>
      <c r="D44" s="18" t="s">
        <v>222</v>
      </c>
      <c r="G44" s="18" t="s">
        <v>40</v>
      </c>
      <c r="H44" s="18" t="s">
        <v>35</v>
      </c>
      <c r="I44" s="18" t="s">
        <v>223</v>
      </c>
      <c r="J44" s="18"/>
    </row>
    <row r="45" ht="18.0" customHeight="1">
      <c r="A45" s="18" t="s">
        <v>224</v>
      </c>
      <c r="B45" s="20" t="s">
        <v>225</v>
      </c>
      <c r="C45" s="18" t="s">
        <v>226</v>
      </c>
      <c r="D45" s="18" t="s">
        <v>227</v>
      </c>
      <c r="G45" s="18" t="s">
        <v>34</v>
      </c>
      <c r="H45" s="18" t="s">
        <v>228</v>
      </c>
      <c r="I45" s="18" t="s">
        <v>229</v>
      </c>
      <c r="J45" s="18"/>
    </row>
    <row r="46" ht="18.0" customHeight="1">
      <c r="A46" s="18" t="s">
        <v>230</v>
      </c>
      <c r="B46" s="20" t="s">
        <v>231</v>
      </c>
      <c r="C46" s="18" t="s">
        <v>232</v>
      </c>
      <c r="D46" s="18" t="s">
        <v>233</v>
      </c>
      <c r="G46" s="18" t="s">
        <v>34</v>
      </c>
      <c r="H46" s="18" t="s">
        <v>234</v>
      </c>
      <c r="I46" s="18" t="s">
        <v>235</v>
      </c>
      <c r="J46" s="18"/>
    </row>
    <row r="47" ht="18.0" customHeight="1">
      <c r="A47" s="18" t="s">
        <v>236</v>
      </c>
      <c r="B47" s="20" t="s">
        <v>237</v>
      </c>
      <c r="C47" s="18" t="s">
        <v>238</v>
      </c>
      <c r="D47" s="18" t="s">
        <v>239</v>
      </c>
      <c r="G47" s="18" t="s">
        <v>40</v>
      </c>
      <c r="H47" s="18" t="s">
        <v>240</v>
      </c>
      <c r="I47" s="18" t="s">
        <v>241</v>
      </c>
      <c r="J47" s="18"/>
    </row>
    <row r="48" ht="18.0" customHeight="1">
      <c r="A48" s="18" t="s">
        <v>242</v>
      </c>
      <c r="B48" s="20" t="s">
        <v>243</v>
      </c>
      <c r="C48" s="18" t="s">
        <v>244</v>
      </c>
      <c r="D48" s="18" t="s">
        <v>245</v>
      </c>
      <c r="G48" s="18" t="s">
        <v>40</v>
      </c>
      <c r="H48" s="18" t="s">
        <v>246</v>
      </c>
      <c r="I48" s="18" t="s">
        <v>247</v>
      </c>
      <c r="J48" s="18"/>
    </row>
    <row r="49" ht="18.0" customHeight="1">
      <c r="A49" s="18" t="s">
        <v>248</v>
      </c>
      <c r="B49" s="20" t="s">
        <v>249</v>
      </c>
      <c r="C49" s="18" t="s">
        <v>250</v>
      </c>
      <c r="D49" s="18" t="s">
        <v>251</v>
      </c>
      <c r="G49" s="18" t="s">
        <v>40</v>
      </c>
      <c r="H49" s="18" t="s">
        <v>252</v>
      </c>
      <c r="I49" s="18" t="s">
        <v>253</v>
      </c>
      <c r="J49" s="18"/>
    </row>
    <row r="50" ht="18.0" customHeight="1">
      <c r="A50" s="18" t="s">
        <v>254</v>
      </c>
      <c r="B50" s="20" t="s">
        <v>255</v>
      </c>
      <c r="C50" s="18" t="s">
        <v>256</v>
      </c>
      <c r="D50" s="18" t="s">
        <v>257</v>
      </c>
      <c r="G50" s="18" t="s">
        <v>40</v>
      </c>
      <c r="H50" s="18" t="s">
        <v>258</v>
      </c>
      <c r="I50" s="18" t="s">
        <v>259</v>
      </c>
      <c r="J50" s="18"/>
    </row>
    <row r="51" ht="18.0" customHeight="1">
      <c r="A51" s="18" t="s">
        <v>260</v>
      </c>
      <c r="B51" s="20" t="s">
        <v>261</v>
      </c>
      <c r="C51" s="18" t="s">
        <v>262</v>
      </c>
      <c r="D51" s="18" t="s">
        <v>263</v>
      </c>
      <c r="G51" s="18" t="s">
        <v>34</v>
      </c>
      <c r="H51" s="18" t="s">
        <v>35</v>
      </c>
      <c r="I51" s="18" t="s">
        <v>264</v>
      </c>
      <c r="J51" s="18"/>
    </row>
    <row r="52" ht="18.0" customHeight="1">
      <c r="A52" s="18" t="s">
        <v>265</v>
      </c>
      <c r="B52" s="20" t="s">
        <v>266</v>
      </c>
      <c r="C52" s="18" t="s">
        <v>267</v>
      </c>
      <c r="D52" s="18" t="s">
        <v>268</v>
      </c>
      <c r="G52" s="18" t="s">
        <v>34</v>
      </c>
      <c r="H52" s="18" t="s">
        <v>35</v>
      </c>
      <c r="I52" s="18" t="s">
        <v>269</v>
      </c>
      <c r="J52" s="18"/>
    </row>
    <row r="53" ht="18.0" customHeight="1">
      <c r="A53" s="18" t="s">
        <v>270</v>
      </c>
      <c r="B53" s="20" t="s">
        <v>271</v>
      </c>
      <c r="C53" s="18" t="s">
        <v>272</v>
      </c>
      <c r="D53" s="18" t="s">
        <v>273</v>
      </c>
      <c r="G53" s="18" t="s">
        <v>34</v>
      </c>
      <c r="H53" s="18" t="s">
        <v>35</v>
      </c>
      <c r="I53" s="18" t="s">
        <v>274</v>
      </c>
      <c r="J53" s="18"/>
    </row>
    <row r="54" ht="18.0" customHeight="1">
      <c r="A54" s="18" t="s">
        <v>275</v>
      </c>
      <c r="B54" s="20" t="s">
        <v>276</v>
      </c>
      <c r="C54" s="18" t="s">
        <v>277</v>
      </c>
      <c r="D54" s="18" t="s">
        <v>278</v>
      </c>
      <c r="G54" s="18" t="s">
        <v>40</v>
      </c>
      <c r="H54" s="18" t="s">
        <v>279</v>
      </c>
      <c r="I54" s="18" t="s">
        <v>280</v>
      </c>
      <c r="J54" s="18"/>
    </row>
    <row r="55" ht="18.0" customHeight="1">
      <c r="A55" s="18" t="s">
        <v>281</v>
      </c>
      <c r="B55" s="20" t="s">
        <v>282</v>
      </c>
      <c r="C55" s="18" t="s">
        <v>283</v>
      </c>
      <c r="D55" s="18" t="s">
        <v>284</v>
      </c>
      <c r="G55" s="18" t="s">
        <v>34</v>
      </c>
      <c r="H55" s="18" t="s">
        <v>285</v>
      </c>
      <c r="I55" s="18" t="s">
        <v>286</v>
      </c>
      <c r="J55" s="18"/>
    </row>
    <row r="56" ht="18.0" customHeight="1">
      <c r="A56" s="18" t="s">
        <v>287</v>
      </c>
      <c r="B56" s="20" t="s">
        <v>288</v>
      </c>
      <c r="C56" s="18" t="s">
        <v>289</v>
      </c>
      <c r="D56" s="18" t="s">
        <v>290</v>
      </c>
      <c r="G56" s="18" t="s">
        <v>40</v>
      </c>
      <c r="H56" s="18" t="s">
        <v>291</v>
      </c>
      <c r="I56" s="18" t="s">
        <v>292</v>
      </c>
      <c r="J56" s="18"/>
    </row>
    <row r="57" ht="18.0" customHeight="1">
      <c r="A57" s="18" t="s">
        <v>293</v>
      </c>
      <c r="B57" s="20" t="s">
        <v>294</v>
      </c>
      <c r="C57" s="18" t="s">
        <v>295</v>
      </c>
      <c r="D57" s="18" t="s">
        <v>296</v>
      </c>
      <c r="G57" s="18" t="s">
        <v>34</v>
      </c>
      <c r="H57" s="18" t="s">
        <v>297</v>
      </c>
      <c r="I57" s="18" t="s">
        <v>298</v>
      </c>
      <c r="J57" s="18">
        <v>4.47447769822E11</v>
      </c>
    </row>
    <row r="58" ht="18.0" customHeight="1">
      <c r="A58" s="18" t="s">
        <v>299</v>
      </c>
      <c r="B58" s="20" t="s">
        <v>300</v>
      </c>
      <c r="C58" s="18" t="s">
        <v>301</v>
      </c>
      <c r="D58" s="18" t="s">
        <v>302</v>
      </c>
      <c r="G58" s="18" t="s">
        <v>34</v>
      </c>
      <c r="H58" s="18" t="s">
        <v>303</v>
      </c>
      <c r="I58" s="18" t="s">
        <v>304</v>
      </c>
      <c r="J58" s="18"/>
    </row>
    <row r="59" ht="18.0" customHeight="1">
      <c r="A59" s="18" t="s">
        <v>305</v>
      </c>
      <c r="B59" s="20" t="s">
        <v>306</v>
      </c>
      <c r="C59" s="18" t="s">
        <v>307</v>
      </c>
      <c r="D59" s="18" t="s">
        <v>308</v>
      </c>
      <c r="G59" s="18" t="s">
        <v>34</v>
      </c>
      <c r="H59" s="18" t="s">
        <v>309</v>
      </c>
      <c r="I59" s="18" t="s">
        <v>310</v>
      </c>
      <c r="J59" s="18"/>
    </row>
    <row r="60" ht="18.0" customHeight="1">
      <c r="A60" s="18" t="s">
        <v>311</v>
      </c>
      <c r="B60" s="21">
        <v>46050.0</v>
      </c>
      <c r="C60" s="18" t="s">
        <v>312</v>
      </c>
      <c r="D60" s="18" t="s">
        <v>313</v>
      </c>
      <c r="G60" s="18" t="s">
        <v>314</v>
      </c>
      <c r="H60" s="18" t="s">
        <v>315</v>
      </c>
      <c r="I60" s="18" t="s">
        <v>316</v>
      </c>
      <c r="J60" s="18"/>
    </row>
    <row r="61" ht="18.0" customHeight="1">
      <c r="A61" s="18" t="s">
        <v>317</v>
      </c>
      <c r="B61" s="21">
        <v>45999.0</v>
      </c>
      <c r="C61" s="18" t="s">
        <v>318</v>
      </c>
      <c r="D61" s="18" t="s">
        <v>319</v>
      </c>
      <c r="G61" s="18" t="s">
        <v>34</v>
      </c>
      <c r="H61" s="18" t="s">
        <v>320</v>
      </c>
      <c r="I61" s="18" t="s">
        <v>321</v>
      </c>
      <c r="J61" s="18"/>
    </row>
    <row r="62" ht="18.0" customHeight="1">
      <c r="A62" s="18" t="s">
        <v>322</v>
      </c>
      <c r="B62" s="21">
        <v>46049.0</v>
      </c>
      <c r="C62" s="18" t="s">
        <v>323</v>
      </c>
      <c r="D62" s="18" t="s">
        <v>324</v>
      </c>
      <c r="G62" s="18" t="s">
        <v>34</v>
      </c>
      <c r="H62" s="18" t="s">
        <v>325</v>
      </c>
      <c r="I62" s="18" t="s">
        <v>326</v>
      </c>
      <c r="J62" s="18"/>
    </row>
    <row r="63" ht="18.0" customHeight="1">
      <c r="A63" s="18" t="s">
        <v>186</v>
      </c>
      <c r="B63" s="19">
        <v>46077.0</v>
      </c>
      <c r="C63" s="18" t="s">
        <v>186</v>
      </c>
      <c r="D63" s="18" t="s">
        <v>188</v>
      </c>
      <c r="G63" s="18" t="s">
        <v>40</v>
      </c>
      <c r="H63" s="18" t="s">
        <v>327</v>
      </c>
      <c r="I63" s="18" t="s">
        <v>328</v>
      </c>
      <c r="J63" s="18"/>
    </row>
    <row r="64" ht="18.0" customHeight="1">
      <c r="A64" s="18" t="s">
        <v>329</v>
      </c>
      <c r="B64" s="20" t="s">
        <v>330</v>
      </c>
      <c r="C64" s="18" t="s">
        <v>329</v>
      </c>
      <c r="D64" s="18" t="s">
        <v>331</v>
      </c>
      <c r="G64" s="18" t="s">
        <v>332</v>
      </c>
      <c r="H64" s="18" t="s">
        <v>333</v>
      </c>
      <c r="I64" s="22" t="s">
        <v>334</v>
      </c>
      <c r="J64" s="18"/>
    </row>
    <row r="65" ht="18.0" customHeight="1">
      <c r="A65" s="18" t="s">
        <v>335</v>
      </c>
      <c r="B65" s="20" t="s">
        <v>336</v>
      </c>
      <c r="C65" s="18" t="s">
        <v>335</v>
      </c>
      <c r="D65" s="18" t="s">
        <v>337</v>
      </c>
      <c r="G65" s="18" t="s">
        <v>40</v>
      </c>
      <c r="I65" s="18" t="s">
        <v>338</v>
      </c>
    </row>
    <row r="66" ht="18.0" customHeight="1">
      <c r="A66" s="18" t="s">
        <v>339</v>
      </c>
      <c r="B66" s="23">
        <v>46078.0</v>
      </c>
      <c r="C66" s="18" t="s">
        <v>340</v>
      </c>
      <c r="D66" s="18" t="s">
        <v>341</v>
      </c>
      <c r="G66" s="18" t="s">
        <v>40</v>
      </c>
      <c r="H66" s="18" t="s">
        <v>342</v>
      </c>
      <c r="I66" s="18" t="s">
        <v>343</v>
      </c>
    </row>
    <row r="67" ht="18.0" customHeight="1">
      <c r="A67" s="18" t="s">
        <v>344</v>
      </c>
      <c r="B67" s="18" t="s">
        <v>345</v>
      </c>
      <c r="C67" s="18" t="s">
        <v>346</v>
      </c>
      <c r="D67" s="18" t="s">
        <v>347</v>
      </c>
      <c r="G67" s="18" t="s">
        <v>40</v>
      </c>
      <c r="H67" s="18" t="s">
        <v>348</v>
      </c>
      <c r="I67" s="24" t="s">
        <v>349</v>
      </c>
    </row>
    <row r="68" ht="18.0" customHeight="1">
      <c r="A68" s="18" t="s">
        <v>350</v>
      </c>
      <c r="B68" s="18" t="s">
        <v>351</v>
      </c>
      <c r="C68" s="18" t="s">
        <v>352</v>
      </c>
      <c r="D68" s="18" t="s">
        <v>353</v>
      </c>
      <c r="G68" s="18" t="s">
        <v>40</v>
      </c>
      <c r="H68" s="18" t="s">
        <v>354</v>
      </c>
      <c r="I68" s="18" t="s">
        <v>355</v>
      </c>
    </row>
    <row r="69" ht="18.0" customHeight="1">
      <c r="A69" s="18" t="s">
        <v>356</v>
      </c>
      <c r="B69" s="18" t="s">
        <v>351</v>
      </c>
      <c r="C69" s="25" t="s">
        <v>357</v>
      </c>
      <c r="D69" s="18" t="s">
        <v>358</v>
      </c>
      <c r="G69" s="18" t="s">
        <v>34</v>
      </c>
      <c r="H69" s="18" t="s">
        <v>359</v>
      </c>
      <c r="I69" s="18" t="s">
        <v>360</v>
      </c>
    </row>
    <row r="70" ht="18.0" customHeight="1">
      <c r="A70" s="18" t="s">
        <v>361</v>
      </c>
      <c r="B70" s="18" t="s">
        <v>351</v>
      </c>
      <c r="C70" s="18" t="s">
        <v>362</v>
      </c>
      <c r="D70" s="18" t="s">
        <v>363</v>
      </c>
      <c r="G70" s="18" t="s">
        <v>40</v>
      </c>
      <c r="H70" s="18" t="s">
        <v>364</v>
      </c>
      <c r="I70" s="18" t="s">
        <v>365</v>
      </c>
    </row>
    <row r="71" ht="18.0" customHeight="1">
      <c r="A71" s="18" t="s">
        <v>366</v>
      </c>
      <c r="B71" s="18" t="s">
        <v>367</v>
      </c>
      <c r="C71" s="18" t="s">
        <v>368</v>
      </c>
      <c r="D71" s="18" t="s">
        <v>369</v>
      </c>
      <c r="G71" s="18" t="s">
        <v>34</v>
      </c>
      <c r="H71" s="18" t="s">
        <v>370</v>
      </c>
      <c r="I71" s="18" t="s">
        <v>371</v>
      </c>
    </row>
    <row r="72" ht="18.0" customHeight="1">
      <c r="A72" s="18" t="s">
        <v>372</v>
      </c>
      <c r="B72" s="18" t="s">
        <v>373</v>
      </c>
      <c r="C72" s="18" t="s">
        <v>374</v>
      </c>
      <c r="D72" s="18" t="s">
        <v>375</v>
      </c>
      <c r="G72" s="18" t="s">
        <v>40</v>
      </c>
      <c r="H72" s="18" t="s">
        <v>354</v>
      </c>
      <c r="I72" s="18" t="s">
        <v>376</v>
      </c>
    </row>
    <row r="73" ht="18.0" customHeight="1">
      <c r="A73" s="18" t="s">
        <v>377</v>
      </c>
      <c r="B73" s="18" t="s">
        <v>378</v>
      </c>
      <c r="C73" s="25" t="s">
        <v>379</v>
      </c>
      <c r="D73" s="18" t="s">
        <v>380</v>
      </c>
      <c r="G73" s="18" t="s">
        <v>40</v>
      </c>
      <c r="H73" s="18" t="s">
        <v>364</v>
      </c>
      <c r="I73" s="18" t="s">
        <v>381</v>
      </c>
    </row>
    <row r="74" ht="18.0" customHeight="1">
      <c r="A74" s="18" t="s">
        <v>382</v>
      </c>
      <c r="B74" s="23">
        <v>46093.0</v>
      </c>
      <c r="C74" s="18" t="s">
        <v>383</v>
      </c>
      <c r="D74" s="18" t="s">
        <v>384</v>
      </c>
      <c r="G74" s="18" t="s">
        <v>40</v>
      </c>
      <c r="H74" s="18" t="s">
        <v>385</v>
      </c>
      <c r="I74" s="24" t="s">
        <v>386</v>
      </c>
    </row>
    <row r="75" ht="18.0" customHeight="1">
      <c r="A75" s="18" t="s">
        <v>387</v>
      </c>
      <c r="B75" s="23">
        <v>46095.0</v>
      </c>
      <c r="C75" s="18" t="s">
        <v>388</v>
      </c>
      <c r="D75" s="18" t="s">
        <v>389</v>
      </c>
      <c r="G75" s="18" t="s">
        <v>40</v>
      </c>
      <c r="H75" s="18" t="s">
        <v>390</v>
      </c>
      <c r="I75" s="24" t="s">
        <v>391</v>
      </c>
      <c r="J75" s="18" t="s">
        <v>35</v>
      </c>
    </row>
    <row r="76" ht="18.0" customHeight="1">
      <c r="A76" s="18" t="s">
        <v>392</v>
      </c>
      <c r="B76" s="23">
        <v>46098.0</v>
      </c>
      <c r="C76" s="18" t="s">
        <v>393</v>
      </c>
      <c r="D76" s="18" t="s">
        <v>394</v>
      </c>
      <c r="G76" s="18" t="s">
        <v>34</v>
      </c>
      <c r="H76" s="18" t="s">
        <v>395</v>
      </c>
      <c r="I76" s="22" t="s">
        <v>396</v>
      </c>
      <c r="J76" s="18" t="s">
        <v>35</v>
      </c>
    </row>
    <row r="77" ht="18.0" customHeight="1">
      <c r="A77" s="18" t="s">
        <v>397</v>
      </c>
      <c r="B77" s="23">
        <v>46098.0</v>
      </c>
      <c r="C77" s="18" t="s">
        <v>398</v>
      </c>
      <c r="D77" s="18" t="s">
        <v>399</v>
      </c>
      <c r="G77" s="18" t="s">
        <v>40</v>
      </c>
      <c r="H77" s="18" t="s">
        <v>400</v>
      </c>
      <c r="I77" s="24" t="s">
        <v>401</v>
      </c>
    </row>
    <row r="78" ht="18.0" customHeight="1">
      <c r="A78" s="18" t="s">
        <v>402</v>
      </c>
      <c r="B78" s="18" t="s">
        <v>403</v>
      </c>
      <c r="C78" s="18" t="s">
        <v>402</v>
      </c>
      <c r="D78" s="18" t="s">
        <v>404</v>
      </c>
      <c r="G78" s="18" t="s">
        <v>314</v>
      </c>
    </row>
    <row r="79" ht="18.0" customHeight="1">
      <c r="A79" s="18" t="s">
        <v>405</v>
      </c>
      <c r="B79" s="18" t="s">
        <v>406</v>
      </c>
      <c r="C79" s="18" t="s">
        <v>407</v>
      </c>
      <c r="D79" s="18" t="s">
        <v>408</v>
      </c>
      <c r="G79" s="18" t="s">
        <v>314</v>
      </c>
      <c r="H79" s="18" t="s">
        <v>409</v>
      </c>
      <c r="I79" s="18" t="s">
        <v>410</v>
      </c>
    </row>
    <row r="80" ht="18.0" customHeight="1">
      <c r="A80" s="18" t="s">
        <v>411</v>
      </c>
      <c r="B80" s="18" t="s">
        <v>412</v>
      </c>
      <c r="C80" s="18" t="s">
        <v>413</v>
      </c>
      <c r="D80" s="18" t="s">
        <v>414</v>
      </c>
      <c r="G80" s="18" t="s">
        <v>40</v>
      </c>
      <c r="H80" s="18" t="s">
        <v>354</v>
      </c>
      <c r="I80" s="18" t="s">
        <v>415</v>
      </c>
    </row>
    <row r="81" ht="18.0" customHeight="1">
      <c r="A81" s="18" t="s">
        <v>416</v>
      </c>
      <c r="B81" s="23">
        <v>46119.0</v>
      </c>
      <c r="C81" s="18" t="s">
        <v>417</v>
      </c>
      <c r="D81" s="18" t="s">
        <v>418</v>
      </c>
      <c r="G81" s="18" t="s">
        <v>40</v>
      </c>
      <c r="H81" s="18" t="s">
        <v>419</v>
      </c>
      <c r="I81" s="18" t="s">
        <v>420</v>
      </c>
    </row>
    <row r="82" ht="18.0" customHeight="1">
      <c r="A82" s="18" t="s">
        <v>421</v>
      </c>
      <c r="B82" s="23">
        <v>46115.0</v>
      </c>
      <c r="C82" s="18" t="s">
        <v>422</v>
      </c>
      <c r="D82" s="18" t="s">
        <v>423</v>
      </c>
      <c r="G82" s="18" t="s">
        <v>40</v>
      </c>
      <c r="H82" s="18" t="s">
        <v>424</v>
      </c>
      <c r="I82" s="18" t="s">
        <v>425</v>
      </c>
    </row>
    <row r="83" ht="18.0" customHeight="1">
      <c r="A83" s="18" t="s">
        <v>426</v>
      </c>
      <c r="B83" s="23">
        <v>46115.0</v>
      </c>
      <c r="C83" s="18" t="s">
        <v>427</v>
      </c>
      <c r="D83" s="18" t="s">
        <v>428</v>
      </c>
      <c r="G83" s="18" t="s">
        <v>40</v>
      </c>
      <c r="H83" s="18" t="s">
        <v>429</v>
      </c>
      <c r="I83" s="18" t="s">
        <v>430</v>
      </c>
    </row>
    <row r="84" ht="18.0" customHeight="1">
      <c r="A84" s="26" t="s">
        <v>431</v>
      </c>
      <c r="B84" s="23">
        <v>46120.0</v>
      </c>
      <c r="D84" s="18" t="s">
        <v>432</v>
      </c>
      <c r="G84" s="18" t="s">
        <v>34</v>
      </c>
    </row>
    <row r="85" ht="18.0" customHeight="1">
      <c r="A85" s="18" t="s">
        <v>433</v>
      </c>
      <c r="B85" s="23">
        <v>46120.0</v>
      </c>
      <c r="C85" s="18" t="s">
        <v>434</v>
      </c>
      <c r="D85" s="18" t="s">
        <v>435</v>
      </c>
      <c r="G85" s="18" t="s">
        <v>436</v>
      </c>
    </row>
    <row r="86" ht="18.0" customHeight="1">
      <c r="A86" s="18" t="s">
        <v>437</v>
      </c>
      <c r="B86" s="23">
        <v>46120.0</v>
      </c>
      <c r="C86" s="18" t="s">
        <v>438</v>
      </c>
      <c r="D86" s="18" t="s">
        <v>439</v>
      </c>
      <c r="E86" s="27" t="s">
        <v>440</v>
      </c>
      <c r="F86" s="28" t="s">
        <v>441</v>
      </c>
      <c r="G86" s="18" t="s">
        <v>436</v>
      </c>
    </row>
    <row r="87" ht="18.0" customHeight="1">
      <c r="G87" s="29"/>
    </row>
    <row r="88" ht="18.0" customHeight="1">
      <c r="G88" s="29"/>
    </row>
    <row r="89" ht="18.0" customHeight="1">
      <c r="G89" s="29"/>
    </row>
    <row r="90" ht="18.0" customHeight="1">
      <c r="G90" s="29"/>
    </row>
    <row r="91" ht="18.0" customHeight="1">
      <c r="G91" s="29"/>
    </row>
    <row r="92" ht="18.0" customHeight="1">
      <c r="G92" s="29"/>
    </row>
    <row r="93" ht="18.0" customHeight="1">
      <c r="G93" s="29"/>
    </row>
    <row r="94" ht="18.0" customHeight="1">
      <c r="G94" s="29"/>
    </row>
    <row r="95" ht="18.0" customHeight="1">
      <c r="G95" s="29"/>
    </row>
    <row r="96" ht="18.0" customHeight="1">
      <c r="G96" s="29"/>
    </row>
    <row r="97" ht="18.0" customHeight="1">
      <c r="G97" s="29"/>
    </row>
    <row r="98" ht="18.0" customHeight="1">
      <c r="G98" s="29"/>
    </row>
    <row r="99" ht="18.0" customHeight="1">
      <c r="G99" s="29"/>
    </row>
    <row r="100" ht="18.0" customHeight="1">
      <c r="G100" s="29"/>
    </row>
    <row r="101" ht="18.0" customHeight="1">
      <c r="G101" s="29"/>
    </row>
    <row r="102" ht="18.0" customHeight="1">
      <c r="G102" s="29"/>
    </row>
    <row r="103" ht="18.0" customHeight="1">
      <c r="G103" s="29"/>
    </row>
    <row r="104" ht="18.0" customHeight="1">
      <c r="G104" s="29"/>
    </row>
    <row r="105" ht="18.0" customHeight="1">
      <c r="G105" s="29"/>
    </row>
    <row r="106" ht="18.0" customHeight="1">
      <c r="G106" s="29"/>
    </row>
    <row r="107" ht="18.0" customHeight="1">
      <c r="G107" s="29"/>
    </row>
    <row r="108" ht="18.0" customHeight="1">
      <c r="G108" s="29"/>
    </row>
    <row r="109" ht="18.0" customHeight="1">
      <c r="G109" s="29"/>
    </row>
    <row r="110" ht="18.0" customHeight="1">
      <c r="G110" s="29"/>
    </row>
    <row r="111" ht="18.0" customHeight="1">
      <c r="G111" s="29"/>
    </row>
    <row r="112" ht="18.0" customHeight="1">
      <c r="G112" s="29"/>
    </row>
    <row r="113" ht="18.0" customHeight="1">
      <c r="G113" s="29"/>
    </row>
    <row r="114" ht="18.0" customHeight="1">
      <c r="G114" s="29"/>
    </row>
    <row r="115" ht="18.0" customHeight="1">
      <c r="G115" s="29"/>
    </row>
    <row r="116" ht="18.0" customHeight="1">
      <c r="G116" s="29"/>
    </row>
    <row r="117" ht="18.0" customHeight="1">
      <c r="G117" s="29"/>
    </row>
    <row r="118" ht="18.0" customHeight="1">
      <c r="G118" s="29"/>
    </row>
    <row r="119" ht="18.0" customHeight="1">
      <c r="G119" s="29"/>
    </row>
    <row r="120" ht="18.0" customHeight="1">
      <c r="G120" s="29"/>
    </row>
    <row r="121" ht="18.0" customHeight="1">
      <c r="G121" s="29"/>
    </row>
    <row r="122" ht="18.0" customHeight="1">
      <c r="G122" s="29"/>
    </row>
    <row r="123" ht="18.0" customHeight="1">
      <c r="G123" s="29"/>
    </row>
    <row r="124" ht="18.0" customHeight="1">
      <c r="G124" s="29"/>
    </row>
    <row r="125" ht="18.0" customHeight="1">
      <c r="G125" s="29"/>
    </row>
    <row r="126" ht="18.0" customHeight="1">
      <c r="G126" s="29"/>
    </row>
    <row r="127" ht="18.0" customHeight="1">
      <c r="G127" s="29"/>
    </row>
    <row r="128" ht="18.0" customHeight="1">
      <c r="G128" s="29"/>
    </row>
    <row r="129" ht="18.0" customHeight="1">
      <c r="G129" s="29"/>
    </row>
    <row r="130" ht="18.0" customHeight="1">
      <c r="G130" s="29"/>
    </row>
    <row r="131" ht="18.0" customHeight="1">
      <c r="G131" s="29"/>
    </row>
    <row r="132" ht="18.0" customHeight="1">
      <c r="G132" s="29"/>
    </row>
    <row r="133" ht="18.0" customHeight="1">
      <c r="G133" s="29"/>
    </row>
    <row r="134" ht="18.0" customHeight="1">
      <c r="G134" s="29"/>
    </row>
    <row r="135" ht="18.0" customHeight="1">
      <c r="G135" s="29"/>
    </row>
    <row r="136" ht="18.0" customHeight="1">
      <c r="G136" s="29"/>
    </row>
    <row r="137" ht="18.0" customHeight="1">
      <c r="G137" s="29"/>
    </row>
    <row r="138" ht="18.0" customHeight="1">
      <c r="G138" s="29"/>
    </row>
    <row r="139" ht="18.0" customHeight="1">
      <c r="G139" s="29"/>
    </row>
    <row r="140" ht="18.0" customHeight="1">
      <c r="G140" s="29"/>
    </row>
    <row r="141" ht="18.0" customHeight="1">
      <c r="G141" s="29"/>
    </row>
    <row r="142" ht="18.0" customHeight="1">
      <c r="G142" s="29"/>
    </row>
    <row r="143" ht="18.0" customHeight="1">
      <c r="G143" s="29"/>
    </row>
    <row r="144" ht="18.0" customHeight="1">
      <c r="G144" s="29"/>
    </row>
    <row r="145" ht="18.0" customHeight="1">
      <c r="G145" s="29"/>
    </row>
    <row r="146" ht="18.0" customHeight="1">
      <c r="G146" s="29"/>
    </row>
    <row r="147" ht="18.0" customHeight="1">
      <c r="G147" s="29"/>
    </row>
    <row r="148" ht="18.0" customHeight="1">
      <c r="G148" s="29"/>
    </row>
    <row r="149" ht="18.0" customHeight="1">
      <c r="G149" s="29"/>
    </row>
    <row r="150" ht="18.0" customHeight="1">
      <c r="G150" s="29"/>
    </row>
    <row r="151" ht="18.0" customHeight="1">
      <c r="G151" s="29"/>
    </row>
    <row r="152" ht="18.0" customHeight="1">
      <c r="G152" s="29"/>
    </row>
    <row r="153" ht="18.0" customHeight="1">
      <c r="G153" s="29"/>
    </row>
    <row r="154" ht="18.0" customHeight="1">
      <c r="G154" s="29"/>
    </row>
    <row r="155" ht="18.0" customHeight="1">
      <c r="G155" s="29"/>
    </row>
    <row r="156" ht="18.0" customHeight="1">
      <c r="G156" s="29"/>
    </row>
    <row r="157" ht="18.0" customHeight="1">
      <c r="G157" s="29"/>
    </row>
    <row r="158" ht="18.0" customHeight="1">
      <c r="G158" s="29"/>
    </row>
    <row r="159" ht="18.0" customHeight="1">
      <c r="G159" s="29"/>
    </row>
    <row r="160" ht="18.0" customHeight="1">
      <c r="G160" s="29"/>
    </row>
    <row r="161" ht="18.0" customHeight="1">
      <c r="G161" s="29"/>
    </row>
    <row r="162" ht="18.0" customHeight="1">
      <c r="G162" s="29"/>
    </row>
    <row r="163" ht="18.0" customHeight="1">
      <c r="G163" s="29"/>
    </row>
    <row r="164" ht="18.0" customHeight="1">
      <c r="G164" s="29"/>
    </row>
    <row r="165" ht="18.0" customHeight="1">
      <c r="G165" s="29"/>
    </row>
    <row r="166" ht="18.0" customHeight="1">
      <c r="G166" s="29"/>
    </row>
    <row r="167" ht="18.0" customHeight="1">
      <c r="G167" s="29"/>
    </row>
    <row r="168" ht="18.0" customHeight="1">
      <c r="G168" s="29"/>
    </row>
    <row r="169" ht="18.0" customHeight="1">
      <c r="G169" s="29"/>
    </row>
    <row r="170" ht="18.0" customHeight="1">
      <c r="G170" s="29"/>
    </row>
    <row r="171" ht="18.0" customHeight="1">
      <c r="G171" s="29"/>
    </row>
    <row r="172" ht="18.0" customHeight="1">
      <c r="G172" s="29"/>
    </row>
    <row r="173" ht="18.0" customHeight="1">
      <c r="G173" s="29"/>
    </row>
    <row r="174" ht="18.0" customHeight="1">
      <c r="G174" s="29"/>
    </row>
    <row r="175" ht="18.0" customHeight="1">
      <c r="G175" s="29"/>
    </row>
    <row r="176" ht="18.0" customHeight="1">
      <c r="G176" s="29"/>
    </row>
    <row r="177" ht="18.0" customHeight="1">
      <c r="G177" s="29"/>
    </row>
    <row r="178" ht="18.0" customHeight="1">
      <c r="G178" s="29"/>
    </row>
    <row r="179" ht="18.0" customHeight="1">
      <c r="G179" s="29"/>
    </row>
    <row r="180" ht="18.0" customHeight="1">
      <c r="G180" s="29"/>
    </row>
    <row r="181" ht="18.0" customHeight="1">
      <c r="G181" s="29"/>
    </row>
    <row r="182" ht="18.0" customHeight="1">
      <c r="G182" s="29"/>
    </row>
    <row r="183" ht="18.0" customHeight="1">
      <c r="G183" s="29"/>
    </row>
    <row r="184" ht="18.0" customHeight="1">
      <c r="G184" s="29"/>
    </row>
    <row r="185" ht="18.0" customHeight="1">
      <c r="G185" s="29"/>
    </row>
    <row r="186" ht="18.0" customHeight="1">
      <c r="G186" s="29"/>
    </row>
    <row r="187" ht="18.0" customHeight="1">
      <c r="G187" s="29"/>
    </row>
    <row r="188" ht="18.0" customHeight="1">
      <c r="G188" s="29"/>
    </row>
    <row r="189" ht="18.0" customHeight="1">
      <c r="G189" s="29"/>
    </row>
    <row r="190" ht="18.0" customHeight="1">
      <c r="G190" s="29"/>
    </row>
    <row r="191" ht="18.0" customHeight="1">
      <c r="G191" s="29"/>
    </row>
    <row r="192" ht="18.0" customHeight="1">
      <c r="G192" s="29"/>
    </row>
    <row r="193" ht="18.0" customHeight="1">
      <c r="G193" s="29"/>
    </row>
    <row r="194" ht="18.0" customHeight="1">
      <c r="G194" s="29"/>
    </row>
    <row r="195" ht="18.0" customHeight="1">
      <c r="G195" s="29"/>
    </row>
    <row r="196" ht="18.0" customHeight="1">
      <c r="G196" s="29"/>
    </row>
    <row r="197" ht="18.0" customHeight="1">
      <c r="G197" s="29"/>
    </row>
    <row r="198" ht="18.0" customHeight="1">
      <c r="G198" s="29"/>
    </row>
    <row r="199" ht="18.0" customHeight="1">
      <c r="G199" s="29"/>
    </row>
    <row r="200" ht="18.0" customHeight="1">
      <c r="G200" s="29"/>
    </row>
    <row r="201" ht="18.0" customHeight="1">
      <c r="G201" s="29"/>
    </row>
    <row r="202" ht="18.0" customHeight="1">
      <c r="G202" s="29"/>
    </row>
    <row r="203" ht="18.0" customHeight="1">
      <c r="G203" s="29"/>
    </row>
    <row r="204" ht="18.0" customHeight="1">
      <c r="G204" s="29"/>
    </row>
    <row r="205" ht="18.0" customHeight="1">
      <c r="G205" s="29"/>
    </row>
    <row r="206" ht="18.0" customHeight="1">
      <c r="G206" s="29"/>
    </row>
    <row r="207" ht="18.0" customHeight="1">
      <c r="G207" s="29"/>
    </row>
    <row r="208" ht="18.0" customHeight="1">
      <c r="G208" s="29"/>
    </row>
    <row r="209" ht="18.0" customHeight="1">
      <c r="G209" s="29"/>
    </row>
    <row r="210" ht="18.0" customHeight="1">
      <c r="G210" s="29"/>
    </row>
    <row r="211" ht="18.0" customHeight="1">
      <c r="G211" s="29"/>
    </row>
    <row r="212" ht="18.0" customHeight="1">
      <c r="G212" s="29"/>
    </row>
    <row r="213" ht="18.0" customHeight="1">
      <c r="G213" s="29"/>
    </row>
    <row r="214" ht="18.0" customHeight="1">
      <c r="G214" s="29"/>
    </row>
    <row r="215" ht="18.0" customHeight="1">
      <c r="G215" s="29"/>
    </row>
    <row r="216" ht="18.0" customHeight="1">
      <c r="G216" s="29"/>
    </row>
    <row r="217" ht="18.0" customHeight="1">
      <c r="G217" s="29"/>
    </row>
    <row r="218" ht="18.0" customHeight="1">
      <c r="G218" s="29"/>
    </row>
    <row r="219" ht="18.0" customHeight="1">
      <c r="G219" s="29"/>
    </row>
    <row r="220" ht="18.0" customHeight="1">
      <c r="G220" s="29"/>
    </row>
    <row r="221" ht="18.0" customHeight="1">
      <c r="G221" s="29"/>
    </row>
    <row r="222" ht="18.0" customHeight="1">
      <c r="G222" s="29"/>
    </row>
    <row r="223" ht="18.0" customHeight="1">
      <c r="G223" s="29"/>
    </row>
    <row r="224" ht="18.0" customHeight="1">
      <c r="G224" s="29"/>
    </row>
    <row r="225" ht="18.0" customHeight="1">
      <c r="G225" s="29"/>
    </row>
    <row r="226" ht="18.0" customHeight="1">
      <c r="G226" s="29"/>
    </row>
    <row r="227" ht="18.0" customHeight="1">
      <c r="G227" s="29"/>
    </row>
    <row r="228" ht="18.0" customHeight="1">
      <c r="G228" s="29"/>
    </row>
    <row r="229" ht="18.0" customHeight="1">
      <c r="G229" s="29"/>
    </row>
    <row r="230" ht="18.0" customHeight="1">
      <c r="G230" s="29"/>
    </row>
    <row r="231" ht="18.0" customHeight="1">
      <c r="G231" s="29"/>
    </row>
    <row r="232" ht="18.0" customHeight="1">
      <c r="G232" s="29"/>
    </row>
    <row r="233" ht="18.0" customHeight="1">
      <c r="G233" s="29"/>
    </row>
    <row r="234" ht="18.0" customHeight="1">
      <c r="G234" s="29"/>
    </row>
    <row r="235" ht="18.0" customHeight="1">
      <c r="G235" s="29"/>
    </row>
    <row r="236" ht="18.0" customHeight="1">
      <c r="G236" s="29"/>
    </row>
    <row r="237" ht="18.0" customHeight="1">
      <c r="G237" s="29"/>
    </row>
    <row r="238" ht="18.0" customHeight="1">
      <c r="G238" s="29"/>
    </row>
    <row r="239" ht="18.0" customHeight="1">
      <c r="G239" s="29"/>
    </row>
    <row r="240" ht="18.0" customHeight="1">
      <c r="G240" s="29"/>
    </row>
    <row r="241" ht="18.0" customHeight="1">
      <c r="G241" s="29"/>
    </row>
    <row r="242" ht="18.0" customHeight="1">
      <c r="G242" s="29"/>
    </row>
    <row r="243" ht="18.0" customHeight="1">
      <c r="G243" s="29"/>
    </row>
    <row r="244" ht="18.0" customHeight="1">
      <c r="G244" s="29"/>
    </row>
    <row r="245" ht="18.0" customHeight="1">
      <c r="G245" s="29"/>
    </row>
    <row r="246" ht="18.0" customHeight="1">
      <c r="G246" s="29"/>
    </row>
    <row r="247" ht="18.0" customHeight="1">
      <c r="G247" s="29"/>
    </row>
    <row r="248" ht="18.0" customHeight="1">
      <c r="G248" s="29"/>
    </row>
    <row r="249" ht="18.0" customHeight="1">
      <c r="G249" s="29"/>
    </row>
    <row r="250" ht="18.0" customHeight="1">
      <c r="G250" s="29"/>
    </row>
    <row r="251" ht="18.0" customHeight="1">
      <c r="G251" s="29"/>
    </row>
    <row r="252" ht="18.0" customHeight="1">
      <c r="G252" s="29"/>
    </row>
    <row r="253" ht="18.0" customHeight="1">
      <c r="G253" s="29"/>
    </row>
    <row r="254" ht="18.0" customHeight="1">
      <c r="G254" s="29"/>
    </row>
    <row r="255" ht="18.0" customHeight="1">
      <c r="G255" s="29"/>
    </row>
    <row r="256" ht="18.0" customHeight="1">
      <c r="G256" s="29"/>
    </row>
    <row r="257" ht="18.0" customHeight="1">
      <c r="G257" s="29"/>
    </row>
    <row r="258" ht="18.0" customHeight="1">
      <c r="G258" s="29"/>
    </row>
    <row r="259" ht="18.0" customHeight="1">
      <c r="G259" s="29"/>
    </row>
    <row r="260" ht="18.0" customHeight="1">
      <c r="G260" s="29"/>
    </row>
    <row r="261" ht="18.0" customHeight="1">
      <c r="G261" s="29"/>
    </row>
    <row r="262" ht="18.0" customHeight="1">
      <c r="G262" s="29"/>
    </row>
    <row r="263" ht="18.0" customHeight="1">
      <c r="G263" s="29"/>
    </row>
    <row r="264" ht="18.0" customHeight="1">
      <c r="G264" s="29"/>
    </row>
    <row r="265" ht="18.0" customHeight="1">
      <c r="G265" s="29"/>
    </row>
    <row r="266" ht="18.0" customHeight="1">
      <c r="G266" s="29"/>
    </row>
    <row r="267" ht="18.0" customHeight="1">
      <c r="G267" s="29"/>
    </row>
    <row r="268" ht="18.0" customHeight="1">
      <c r="G268" s="29"/>
    </row>
    <row r="269" ht="18.0" customHeight="1">
      <c r="G269" s="29"/>
    </row>
    <row r="270" ht="18.0" customHeight="1">
      <c r="G270" s="29"/>
    </row>
    <row r="271" ht="18.0" customHeight="1">
      <c r="G271" s="29"/>
    </row>
    <row r="272" ht="18.0" customHeight="1">
      <c r="G272" s="29"/>
    </row>
    <row r="273" ht="18.0" customHeight="1">
      <c r="G273" s="29"/>
    </row>
    <row r="274" ht="18.0" customHeight="1">
      <c r="G274" s="29"/>
    </row>
    <row r="275" ht="18.0" customHeight="1">
      <c r="G275" s="29"/>
    </row>
    <row r="276" ht="18.0" customHeight="1">
      <c r="G276" s="29"/>
    </row>
    <row r="277" ht="18.0" customHeight="1">
      <c r="G277" s="29"/>
    </row>
    <row r="278" ht="18.0" customHeight="1">
      <c r="G278" s="29"/>
    </row>
    <row r="279" ht="18.0" customHeight="1">
      <c r="G279" s="29"/>
    </row>
    <row r="280" ht="18.0" customHeight="1">
      <c r="G280" s="29"/>
    </row>
    <row r="281" ht="18.0" customHeight="1">
      <c r="G281" s="29"/>
    </row>
    <row r="282" ht="18.0" customHeight="1">
      <c r="G282" s="29"/>
    </row>
    <row r="283" ht="18.0" customHeight="1">
      <c r="G283" s="29"/>
    </row>
    <row r="284" ht="18.0" customHeight="1">
      <c r="G284" s="29"/>
    </row>
    <row r="285" ht="18.0" customHeight="1">
      <c r="G285" s="29"/>
    </row>
    <row r="286" ht="18.0" customHeight="1">
      <c r="G286" s="29"/>
    </row>
    <row r="287" ht="18.0" customHeight="1">
      <c r="G287" s="29"/>
    </row>
    <row r="288" ht="18.0" customHeight="1">
      <c r="G288" s="29"/>
    </row>
    <row r="289" ht="18.0" customHeight="1">
      <c r="G289" s="29"/>
    </row>
    <row r="290" ht="18.0" customHeight="1">
      <c r="G290" s="29"/>
    </row>
    <row r="291" ht="18.0" customHeight="1">
      <c r="G291" s="29"/>
    </row>
    <row r="292" ht="18.0" customHeight="1">
      <c r="G292" s="29"/>
    </row>
    <row r="293" ht="18.0" customHeight="1">
      <c r="G293" s="29"/>
    </row>
    <row r="294" ht="18.0" customHeight="1">
      <c r="G294" s="29"/>
    </row>
    <row r="295" ht="18.0" customHeight="1">
      <c r="G295" s="29"/>
    </row>
    <row r="296" ht="18.0" customHeight="1">
      <c r="G296" s="29"/>
    </row>
    <row r="297" ht="18.0" customHeight="1">
      <c r="G297" s="29"/>
    </row>
    <row r="298" ht="18.0" customHeight="1">
      <c r="G298" s="29"/>
    </row>
    <row r="299" ht="18.0" customHeight="1">
      <c r="G299" s="29"/>
    </row>
    <row r="300" ht="18.0" customHeight="1">
      <c r="G300" s="29"/>
    </row>
    <row r="301" ht="18.0" customHeight="1">
      <c r="G301" s="29"/>
    </row>
    <row r="302" ht="18.0" customHeight="1">
      <c r="G302" s="29"/>
    </row>
    <row r="303" ht="18.0" customHeight="1">
      <c r="G303" s="29"/>
    </row>
    <row r="304" ht="18.0" customHeight="1">
      <c r="G304" s="29"/>
    </row>
    <row r="305" ht="18.0" customHeight="1">
      <c r="G305" s="29"/>
    </row>
    <row r="306" ht="18.0" customHeight="1">
      <c r="G306" s="29"/>
    </row>
    <row r="307" ht="18.0" customHeight="1">
      <c r="G307" s="29"/>
    </row>
    <row r="308" ht="18.0" customHeight="1">
      <c r="G308" s="29"/>
    </row>
    <row r="309" ht="18.0" customHeight="1">
      <c r="G309" s="29"/>
    </row>
    <row r="310" ht="18.0" customHeight="1">
      <c r="G310" s="29"/>
    </row>
    <row r="311" ht="18.0" customHeight="1">
      <c r="G311" s="29"/>
    </row>
    <row r="312" ht="18.0" customHeight="1">
      <c r="G312" s="29"/>
    </row>
    <row r="313" ht="18.0" customHeight="1">
      <c r="G313" s="29"/>
    </row>
    <row r="314" ht="18.0" customHeight="1">
      <c r="G314" s="29"/>
    </row>
    <row r="315" ht="18.0" customHeight="1">
      <c r="G315" s="29"/>
    </row>
    <row r="316" ht="18.0" customHeight="1">
      <c r="G316" s="29"/>
    </row>
    <row r="317" ht="18.0" customHeight="1">
      <c r="G317" s="29"/>
    </row>
    <row r="318" ht="18.0" customHeight="1">
      <c r="G318" s="29"/>
    </row>
    <row r="319" ht="18.0" customHeight="1">
      <c r="G319" s="29"/>
    </row>
    <row r="320" ht="18.0" customHeight="1">
      <c r="G320" s="29"/>
    </row>
    <row r="321" ht="18.0" customHeight="1">
      <c r="G321" s="29"/>
    </row>
    <row r="322" ht="18.0" customHeight="1">
      <c r="G322" s="29"/>
    </row>
    <row r="323" ht="18.0" customHeight="1">
      <c r="G323" s="29"/>
    </row>
    <row r="324" ht="18.0" customHeight="1">
      <c r="G324" s="29"/>
    </row>
    <row r="325" ht="18.0" customHeight="1">
      <c r="G325" s="29"/>
    </row>
    <row r="326" ht="18.0" customHeight="1">
      <c r="G326" s="29"/>
    </row>
    <row r="327" ht="18.0" customHeight="1">
      <c r="G327" s="29"/>
    </row>
    <row r="328" ht="18.0" customHeight="1">
      <c r="G328" s="29"/>
    </row>
    <row r="329" ht="18.0" customHeight="1">
      <c r="G329" s="29"/>
    </row>
    <row r="330" ht="18.0" customHeight="1">
      <c r="G330" s="29"/>
    </row>
    <row r="331" ht="18.0" customHeight="1">
      <c r="G331" s="29"/>
    </row>
    <row r="332" ht="18.0" customHeight="1">
      <c r="G332" s="29"/>
    </row>
    <row r="333" ht="18.0" customHeight="1">
      <c r="G333" s="29"/>
    </row>
    <row r="334" ht="18.0" customHeight="1">
      <c r="G334" s="29"/>
    </row>
    <row r="335" ht="18.0" customHeight="1">
      <c r="G335" s="29"/>
    </row>
    <row r="336" ht="18.0" customHeight="1">
      <c r="G336" s="29"/>
    </row>
    <row r="337" ht="18.0" customHeight="1">
      <c r="G337" s="29"/>
    </row>
    <row r="338" ht="18.0" customHeight="1">
      <c r="G338" s="29"/>
    </row>
    <row r="339" ht="18.0" customHeight="1">
      <c r="G339" s="29"/>
    </row>
    <row r="340" ht="18.0" customHeight="1">
      <c r="G340" s="29"/>
    </row>
    <row r="341" ht="18.0" customHeight="1">
      <c r="G341" s="29"/>
    </row>
    <row r="342" ht="18.0" customHeight="1">
      <c r="G342" s="29"/>
    </row>
    <row r="343" ht="18.0" customHeight="1">
      <c r="G343" s="29"/>
    </row>
    <row r="344" ht="18.0" customHeight="1">
      <c r="G344" s="29"/>
    </row>
    <row r="345" ht="18.0" customHeight="1">
      <c r="G345" s="29"/>
    </row>
    <row r="346" ht="18.0" customHeight="1">
      <c r="G346" s="29"/>
    </row>
    <row r="347" ht="18.0" customHeight="1">
      <c r="G347" s="29"/>
    </row>
    <row r="348" ht="18.0" customHeight="1">
      <c r="G348" s="29"/>
    </row>
    <row r="349" ht="18.0" customHeight="1">
      <c r="G349" s="29"/>
    </row>
    <row r="350" ht="18.0" customHeight="1">
      <c r="G350" s="29"/>
    </row>
    <row r="351" ht="18.0" customHeight="1">
      <c r="G351" s="29"/>
    </row>
    <row r="352" ht="18.0" customHeight="1">
      <c r="G352" s="29"/>
    </row>
    <row r="353" ht="18.0" customHeight="1">
      <c r="G353" s="29"/>
    </row>
    <row r="354" ht="18.0" customHeight="1">
      <c r="G354" s="29"/>
    </row>
    <row r="355" ht="18.0" customHeight="1">
      <c r="G355" s="29"/>
    </row>
    <row r="356" ht="18.0" customHeight="1">
      <c r="G356" s="29"/>
    </row>
    <row r="357" ht="18.0" customHeight="1">
      <c r="G357" s="29"/>
    </row>
    <row r="358" ht="18.0" customHeight="1">
      <c r="G358" s="29"/>
    </row>
    <row r="359" ht="18.0" customHeight="1">
      <c r="G359" s="29"/>
    </row>
    <row r="360" ht="18.0" customHeight="1">
      <c r="G360" s="29"/>
    </row>
    <row r="361" ht="18.0" customHeight="1">
      <c r="G361" s="29"/>
    </row>
    <row r="362" ht="18.0" customHeight="1">
      <c r="G362" s="29"/>
    </row>
    <row r="363" ht="18.0" customHeight="1">
      <c r="G363" s="29"/>
    </row>
    <row r="364" ht="18.0" customHeight="1">
      <c r="G364" s="29"/>
    </row>
    <row r="365" ht="18.0" customHeight="1">
      <c r="G365" s="29"/>
    </row>
    <row r="366" ht="18.0" customHeight="1">
      <c r="G366" s="29"/>
    </row>
    <row r="367" ht="18.0" customHeight="1">
      <c r="G367" s="29"/>
    </row>
    <row r="368" ht="18.0" customHeight="1">
      <c r="G368" s="29"/>
    </row>
    <row r="369" ht="18.0" customHeight="1">
      <c r="G369" s="29"/>
    </row>
    <row r="370" ht="18.0" customHeight="1">
      <c r="G370" s="29"/>
    </row>
    <row r="371" ht="18.0" customHeight="1">
      <c r="G371" s="29"/>
    </row>
    <row r="372" ht="18.0" customHeight="1">
      <c r="G372" s="29"/>
    </row>
    <row r="373" ht="18.0" customHeight="1">
      <c r="G373" s="29"/>
    </row>
    <row r="374" ht="18.0" customHeight="1">
      <c r="G374" s="29"/>
    </row>
    <row r="375" ht="18.0" customHeight="1">
      <c r="G375" s="29"/>
    </row>
    <row r="376" ht="18.0" customHeight="1">
      <c r="G376" s="29"/>
    </row>
    <row r="377" ht="18.0" customHeight="1">
      <c r="G377" s="29"/>
    </row>
    <row r="378" ht="18.0" customHeight="1">
      <c r="G378" s="29"/>
    </row>
    <row r="379" ht="18.0" customHeight="1">
      <c r="G379" s="29"/>
    </row>
    <row r="380" ht="18.0" customHeight="1">
      <c r="G380" s="29"/>
    </row>
    <row r="381" ht="18.0" customHeight="1">
      <c r="G381" s="29"/>
    </row>
    <row r="382" ht="18.0" customHeight="1">
      <c r="G382" s="29"/>
    </row>
    <row r="383" ht="18.0" customHeight="1">
      <c r="G383" s="29"/>
    </row>
    <row r="384" ht="18.0" customHeight="1">
      <c r="G384" s="29"/>
    </row>
    <row r="385" ht="18.0" customHeight="1">
      <c r="G385" s="29"/>
    </row>
    <row r="386" ht="18.0" customHeight="1">
      <c r="G386" s="29"/>
    </row>
    <row r="387" ht="18.0" customHeight="1">
      <c r="G387" s="29"/>
    </row>
    <row r="388" ht="18.0" customHeight="1">
      <c r="G388" s="29"/>
    </row>
    <row r="389" ht="18.0" customHeight="1">
      <c r="G389" s="29"/>
    </row>
    <row r="390" ht="18.0" customHeight="1">
      <c r="G390" s="29"/>
    </row>
    <row r="391" ht="18.0" customHeight="1">
      <c r="G391" s="29"/>
    </row>
    <row r="392" ht="18.0" customHeight="1">
      <c r="G392" s="29"/>
    </row>
    <row r="393" ht="18.0" customHeight="1">
      <c r="G393" s="29"/>
    </row>
    <row r="394" ht="18.0" customHeight="1">
      <c r="G394" s="29"/>
    </row>
    <row r="395" ht="18.0" customHeight="1">
      <c r="G395" s="29"/>
    </row>
    <row r="396" ht="18.0" customHeight="1">
      <c r="G396" s="29"/>
    </row>
    <row r="397" ht="18.0" customHeight="1">
      <c r="G397" s="29"/>
    </row>
    <row r="398" ht="18.0" customHeight="1">
      <c r="G398" s="29"/>
    </row>
    <row r="399" ht="18.0" customHeight="1">
      <c r="G399" s="29"/>
    </row>
    <row r="400" ht="18.0" customHeight="1">
      <c r="G400" s="29"/>
    </row>
    <row r="401" ht="18.0" customHeight="1">
      <c r="G401" s="29"/>
    </row>
    <row r="402" ht="18.0" customHeight="1">
      <c r="G402" s="29"/>
    </row>
    <row r="403" ht="18.0" customHeight="1">
      <c r="G403" s="29"/>
    </row>
    <row r="404" ht="18.0" customHeight="1">
      <c r="G404" s="29"/>
    </row>
    <row r="405" ht="18.0" customHeight="1">
      <c r="G405" s="29"/>
    </row>
    <row r="406" ht="18.0" customHeight="1">
      <c r="G406" s="29"/>
    </row>
    <row r="407" ht="18.0" customHeight="1">
      <c r="G407" s="29"/>
    </row>
    <row r="408" ht="18.0" customHeight="1">
      <c r="G408" s="29"/>
    </row>
    <row r="409" ht="18.0" customHeight="1">
      <c r="G409" s="29"/>
    </row>
    <row r="410" ht="18.0" customHeight="1">
      <c r="G410" s="29"/>
    </row>
    <row r="411" ht="18.0" customHeight="1">
      <c r="G411" s="29"/>
    </row>
    <row r="412" ht="18.0" customHeight="1">
      <c r="G412" s="29"/>
    </row>
    <row r="413" ht="18.0" customHeight="1">
      <c r="G413" s="29"/>
    </row>
    <row r="414" ht="18.0" customHeight="1">
      <c r="G414" s="29"/>
    </row>
    <row r="415" ht="18.0" customHeight="1">
      <c r="G415" s="29"/>
    </row>
    <row r="416" ht="18.0" customHeight="1">
      <c r="G416" s="29"/>
    </row>
    <row r="417" ht="18.0" customHeight="1">
      <c r="G417" s="29"/>
    </row>
    <row r="418" ht="18.0" customHeight="1">
      <c r="G418" s="29"/>
    </row>
    <row r="419" ht="18.0" customHeight="1">
      <c r="G419" s="29"/>
    </row>
    <row r="420" ht="18.0" customHeight="1">
      <c r="G420" s="29"/>
    </row>
    <row r="421" ht="18.0" customHeight="1">
      <c r="G421" s="29"/>
    </row>
    <row r="422" ht="18.0" customHeight="1">
      <c r="G422" s="29"/>
    </row>
    <row r="423" ht="18.0" customHeight="1">
      <c r="G423" s="29"/>
    </row>
    <row r="424" ht="18.0" customHeight="1">
      <c r="G424" s="29"/>
    </row>
    <row r="425" ht="18.0" customHeight="1">
      <c r="G425" s="29"/>
    </row>
    <row r="426" ht="18.0" customHeight="1">
      <c r="G426" s="29"/>
    </row>
    <row r="427" ht="18.0" customHeight="1">
      <c r="G427" s="29"/>
    </row>
    <row r="428" ht="18.0" customHeight="1">
      <c r="G428" s="29"/>
    </row>
    <row r="429" ht="18.0" customHeight="1">
      <c r="G429" s="29"/>
    </row>
    <row r="430" ht="18.0" customHeight="1">
      <c r="G430" s="29"/>
    </row>
    <row r="431" ht="18.0" customHeight="1">
      <c r="G431" s="29"/>
    </row>
    <row r="432" ht="18.0" customHeight="1">
      <c r="G432" s="29"/>
    </row>
    <row r="433" ht="18.0" customHeight="1">
      <c r="G433" s="29"/>
    </row>
    <row r="434" ht="18.0" customHeight="1">
      <c r="G434" s="29"/>
    </row>
    <row r="435" ht="18.0" customHeight="1">
      <c r="G435" s="29"/>
    </row>
    <row r="436" ht="18.0" customHeight="1">
      <c r="G436" s="29"/>
    </row>
    <row r="437" ht="18.0" customHeight="1">
      <c r="G437" s="29"/>
    </row>
    <row r="438" ht="18.0" customHeight="1">
      <c r="G438" s="29"/>
    </row>
    <row r="439" ht="18.0" customHeight="1">
      <c r="G439" s="29"/>
    </row>
    <row r="440" ht="18.0" customHeight="1">
      <c r="G440" s="29"/>
    </row>
    <row r="441" ht="18.0" customHeight="1">
      <c r="G441" s="29"/>
    </row>
    <row r="442" ht="18.0" customHeight="1">
      <c r="G442" s="29"/>
    </row>
    <row r="443" ht="18.0" customHeight="1">
      <c r="G443" s="29"/>
    </row>
    <row r="444" ht="18.0" customHeight="1">
      <c r="G444" s="29"/>
    </row>
    <row r="445" ht="18.0" customHeight="1">
      <c r="G445" s="29"/>
    </row>
    <row r="446" ht="18.0" customHeight="1">
      <c r="G446" s="29"/>
    </row>
    <row r="447" ht="18.0" customHeight="1">
      <c r="G447" s="29"/>
    </row>
    <row r="448" ht="18.0" customHeight="1">
      <c r="G448" s="29"/>
    </row>
    <row r="449" ht="18.0" customHeight="1">
      <c r="G449" s="29"/>
    </row>
    <row r="450" ht="18.0" customHeight="1">
      <c r="G450" s="29"/>
    </row>
    <row r="451" ht="18.0" customHeight="1">
      <c r="G451" s="29"/>
    </row>
    <row r="452" ht="18.0" customHeight="1">
      <c r="G452" s="29"/>
    </row>
    <row r="453" ht="18.0" customHeight="1">
      <c r="G453" s="29"/>
    </row>
    <row r="454" ht="18.0" customHeight="1">
      <c r="G454" s="29"/>
    </row>
    <row r="455" ht="18.0" customHeight="1">
      <c r="G455" s="29"/>
    </row>
    <row r="456" ht="18.0" customHeight="1">
      <c r="G456" s="29"/>
    </row>
    <row r="457" ht="18.0" customHeight="1">
      <c r="G457" s="29"/>
    </row>
    <row r="458" ht="18.0" customHeight="1">
      <c r="G458" s="29"/>
    </row>
    <row r="459" ht="18.0" customHeight="1">
      <c r="G459" s="29"/>
    </row>
    <row r="460" ht="18.0" customHeight="1">
      <c r="G460" s="29"/>
    </row>
    <row r="461" ht="18.0" customHeight="1">
      <c r="G461" s="29"/>
    </row>
    <row r="462" ht="18.0" customHeight="1">
      <c r="G462" s="29"/>
    </row>
    <row r="463" ht="18.0" customHeight="1">
      <c r="G463" s="29"/>
    </row>
    <row r="464" ht="18.0" customHeight="1">
      <c r="G464" s="29"/>
    </row>
    <row r="465" ht="18.0" customHeight="1">
      <c r="G465" s="29"/>
    </row>
    <row r="466" ht="18.0" customHeight="1">
      <c r="G466" s="29"/>
    </row>
    <row r="467" ht="18.0" customHeight="1">
      <c r="G467" s="29"/>
    </row>
    <row r="468" ht="18.0" customHeight="1">
      <c r="G468" s="29"/>
    </row>
    <row r="469" ht="18.0" customHeight="1">
      <c r="G469" s="29"/>
    </row>
    <row r="470" ht="18.0" customHeight="1">
      <c r="G470" s="29"/>
    </row>
    <row r="471" ht="18.0" customHeight="1">
      <c r="G471" s="29"/>
    </row>
    <row r="472" ht="18.0" customHeight="1">
      <c r="G472" s="29"/>
    </row>
    <row r="473" ht="18.0" customHeight="1">
      <c r="G473" s="29"/>
    </row>
    <row r="474" ht="18.0" customHeight="1">
      <c r="G474" s="29"/>
    </row>
    <row r="475" ht="18.0" customHeight="1">
      <c r="G475" s="29"/>
    </row>
    <row r="476" ht="18.0" customHeight="1">
      <c r="G476" s="29"/>
    </row>
    <row r="477" ht="18.0" customHeight="1">
      <c r="G477" s="29"/>
    </row>
    <row r="478" ht="18.0" customHeight="1">
      <c r="G478" s="29"/>
    </row>
    <row r="479" ht="18.0" customHeight="1">
      <c r="G479" s="29"/>
    </row>
    <row r="480" ht="18.0" customHeight="1">
      <c r="G480" s="29"/>
    </row>
    <row r="481" ht="18.0" customHeight="1">
      <c r="G481" s="29"/>
    </row>
    <row r="482" ht="18.0" customHeight="1">
      <c r="G482" s="29"/>
    </row>
    <row r="483" ht="18.0" customHeight="1">
      <c r="G483" s="29"/>
    </row>
    <row r="484" ht="18.0" customHeight="1">
      <c r="G484" s="29"/>
    </row>
    <row r="485" ht="18.0" customHeight="1">
      <c r="G485" s="29"/>
    </row>
    <row r="486" ht="18.0" customHeight="1">
      <c r="G486" s="29"/>
    </row>
    <row r="487" ht="18.0" customHeight="1">
      <c r="G487" s="29"/>
    </row>
    <row r="488" ht="18.0" customHeight="1">
      <c r="G488" s="29"/>
    </row>
    <row r="489" ht="18.0" customHeight="1">
      <c r="G489" s="29"/>
    </row>
    <row r="490" ht="18.0" customHeight="1">
      <c r="G490" s="29"/>
    </row>
    <row r="491" ht="18.0" customHeight="1">
      <c r="G491" s="29"/>
    </row>
    <row r="492" ht="18.0" customHeight="1">
      <c r="G492" s="29"/>
    </row>
    <row r="493" ht="18.0" customHeight="1">
      <c r="G493" s="29"/>
    </row>
    <row r="494" ht="18.0" customHeight="1">
      <c r="G494" s="29"/>
    </row>
    <row r="495" ht="18.0" customHeight="1">
      <c r="G495" s="29"/>
    </row>
    <row r="496" ht="18.0" customHeight="1">
      <c r="G496" s="29"/>
    </row>
    <row r="497" ht="18.0" customHeight="1">
      <c r="G497" s="29"/>
    </row>
    <row r="498" ht="18.0" customHeight="1">
      <c r="G498" s="29"/>
    </row>
    <row r="499" ht="18.0" customHeight="1">
      <c r="G499" s="29"/>
    </row>
    <row r="500" ht="18.0" customHeight="1">
      <c r="G500" s="29"/>
    </row>
    <row r="501" ht="18.0" customHeight="1">
      <c r="G501" s="29"/>
    </row>
    <row r="502" ht="18.0" customHeight="1">
      <c r="G502" s="29"/>
    </row>
    <row r="503" ht="18.0" customHeight="1">
      <c r="G503" s="29"/>
    </row>
    <row r="504" ht="18.0" customHeight="1">
      <c r="G504" s="29"/>
    </row>
    <row r="505" ht="18.0" customHeight="1">
      <c r="G505" s="29"/>
    </row>
    <row r="506" ht="18.0" customHeight="1">
      <c r="G506" s="29"/>
    </row>
    <row r="507" ht="18.0" customHeight="1">
      <c r="G507" s="29"/>
    </row>
    <row r="508" ht="18.0" customHeight="1">
      <c r="G508" s="29"/>
    </row>
    <row r="509" ht="18.0" customHeight="1">
      <c r="G509" s="29"/>
    </row>
    <row r="510" ht="18.0" customHeight="1">
      <c r="G510" s="29"/>
    </row>
    <row r="511" ht="18.0" customHeight="1">
      <c r="G511" s="29"/>
    </row>
    <row r="512" ht="18.0" customHeight="1">
      <c r="G512" s="29"/>
    </row>
    <row r="513" ht="18.0" customHeight="1">
      <c r="G513" s="29"/>
    </row>
    <row r="514" ht="18.0" customHeight="1">
      <c r="G514" s="29"/>
    </row>
    <row r="515" ht="18.0" customHeight="1">
      <c r="G515" s="29"/>
    </row>
    <row r="516" ht="18.0" customHeight="1">
      <c r="G516" s="29"/>
    </row>
    <row r="517" ht="18.0" customHeight="1">
      <c r="G517" s="29"/>
    </row>
    <row r="518" ht="18.0" customHeight="1">
      <c r="G518" s="29"/>
    </row>
    <row r="519" ht="18.0" customHeight="1">
      <c r="G519" s="29"/>
    </row>
    <row r="520" ht="18.0" customHeight="1">
      <c r="G520" s="29"/>
    </row>
    <row r="521" ht="18.0" customHeight="1">
      <c r="G521" s="29"/>
    </row>
    <row r="522" ht="18.0" customHeight="1">
      <c r="G522" s="29"/>
    </row>
    <row r="523" ht="18.0" customHeight="1">
      <c r="G523" s="29"/>
    </row>
    <row r="524" ht="18.0" customHeight="1">
      <c r="G524" s="29"/>
    </row>
    <row r="525" ht="18.0" customHeight="1">
      <c r="G525" s="29"/>
    </row>
    <row r="526" ht="18.0" customHeight="1">
      <c r="G526" s="29"/>
    </row>
    <row r="527" ht="18.0" customHeight="1">
      <c r="G527" s="29"/>
    </row>
    <row r="528" ht="18.0" customHeight="1">
      <c r="G528" s="29"/>
    </row>
    <row r="529" ht="18.0" customHeight="1">
      <c r="G529" s="29"/>
    </row>
    <row r="530" ht="18.0" customHeight="1">
      <c r="G530" s="29"/>
    </row>
    <row r="531" ht="18.0" customHeight="1">
      <c r="G531" s="29"/>
    </row>
    <row r="532" ht="18.0" customHeight="1">
      <c r="G532" s="29"/>
    </row>
    <row r="533" ht="18.0" customHeight="1">
      <c r="G533" s="29"/>
    </row>
    <row r="534" ht="18.0" customHeight="1">
      <c r="G534" s="29"/>
    </row>
    <row r="535" ht="18.0" customHeight="1">
      <c r="G535" s="29"/>
    </row>
    <row r="536" ht="18.0" customHeight="1">
      <c r="G536" s="29"/>
    </row>
    <row r="537" ht="18.0" customHeight="1">
      <c r="G537" s="29"/>
    </row>
    <row r="538" ht="18.0" customHeight="1">
      <c r="G538" s="29"/>
    </row>
    <row r="539" ht="18.0" customHeight="1">
      <c r="G539" s="29"/>
    </row>
    <row r="540" ht="18.0" customHeight="1">
      <c r="G540" s="29"/>
    </row>
    <row r="541" ht="18.0" customHeight="1">
      <c r="G541" s="29"/>
    </row>
    <row r="542" ht="18.0" customHeight="1">
      <c r="G542" s="29"/>
    </row>
    <row r="543" ht="18.0" customHeight="1">
      <c r="G543" s="29"/>
    </row>
    <row r="544" ht="18.0" customHeight="1">
      <c r="G544" s="29"/>
    </row>
    <row r="545" ht="18.0" customHeight="1">
      <c r="G545" s="29"/>
    </row>
    <row r="546" ht="18.0" customHeight="1">
      <c r="G546" s="29"/>
    </row>
    <row r="547" ht="18.0" customHeight="1">
      <c r="G547" s="29"/>
    </row>
    <row r="548" ht="18.0" customHeight="1">
      <c r="G548" s="29"/>
    </row>
    <row r="549" ht="18.0" customHeight="1">
      <c r="G549" s="29"/>
    </row>
    <row r="550" ht="18.0" customHeight="1">
      <c r="G550" s="29"/>
    </row>
    <row r="551" ht="18.0" customHeight="1">
      <c r="G551" s="29"/>
    </row>
    <row r="552" ht="18.0" customHeight="1">
      <c r="G552" s="29"/>
    </row>
    <row r="553" ht="18.0" customHeight="1">
      <c r="G553" s="29"/>
    </row>
    <row r="554" ht="18.0" customHeight="1">
      <c r="G554" s="29"/>
    </row>
    <row r="555" ht="18.0" customHeight="1">
      <c r="G555" s="29"/>
    </row>
    <row r="556" ht="18.0" customHeight="1">
      <c r="G556" s="29"/>
    </row>
    <row r="557" ht="18.0" customHeight="1">
      <c r="G557" s="29"/>
    </row>
    <row r="558" ht="18.0" customHeight="1">
      <c r="G558" s="29"/>
    </row>
    <row r="559" ht="18.0" customHeight="1">
      <c r="G559" s="29"/>
    </row>
    <row r="560" ht="18.0" customHeight="1">
      <c r="G560" s="29"/>
    </row>
    <row r="561" ht="18.0" customHeight="1">
      <c r="G561" s="29"/>
    </row>
    <row r="562" ht="18.0" customHeight="1">
      <c r="G562" s="29"/>
    </row>
    <row r="563" ht="18.0" customHeight="1">
      <c r="G563" s="29"/>
    </row>
    <row r="564" ht="18.0" customHeight="1">
      <c r="G564" s="29"/>
    </row>
    <row r="565" ht="18.0" customHeight="1">
      <c r="G565" s="29"/>
    </row>
    <row r="566" ht="18.0" customHeight="1">
      <c r="G566" s="29"/>
    </row>
    <row r="567" ht="18.0" customHeight="1">
      <c r="G567" s="29"/>
    </row>
    <row r="568" ht="18.0" customHeight="1">
      <c r="G568" s="29"/>
    </row>
    <row r="569" ht="18.0" customHeight="1">
      <c r="G569" s="29"/>
    </row>
    <row r="570" ht="18.0" customHeight="1">
      <c r="G570" s="29"/>
    </row>
    <row r="571" ht="18.0" customHeight="1">
      <c r="G571" s="29"/>
    </row>
    <row r="572" ht="18.0" customHeight="1">
      <c r="G572" s="29"/>
    </row>
    <row r="573" ht="18.0" customHeight="1">
      <c r="G573" s="29"/>
    </row>
    <row r="574" ht="18.0" customHeight="1">
      <c r="G574" s="29"/>
    </row>
    <row r="575" ht="18.0" customHeight="1">
      <c r="G575" s="29"/>
    </row>
    <row r="576" ht="18.0" customHeight="1">
      <c r="G576" s="29"/>
    </row>
    <row r="577" ht="18.0" customHeight="1">
      <c r="G577" s="29"/>
    </row>
    <row r="578" ht="18.0" customHeight="1">
      <c r="G578" s="29"/>
    </row>
    <row r="579" ht="18.0" customHeight="1">
      <c r="G579" s="29"/>
    </row>
    <row r="580" ht="18.0" customHeight="1">
      <c r="G580" s="29"/>
    </row>
    <row r="581" ht="18.0" customHeight="1">
      <c r="G581" s="29"/>
    </row>
    <row r="582" ht="18.0" customHeight="1">
      <c r="G582" s="29"/>
    </row>
    <row r="583" ht="18.0" customHeight="1">
      <c r="G583" s="29"/>
    </row>
    <row r="584" ht="18.0" customHeight="1">
      <c r="G584" s="29"/>
    </row>
    <row r="585" ht="18.0" customHeight="1">
      <c r="G585" s="29"/>
    </row>
    <row r="586" ht="18.0" customHeight="1">
      <c r="G586" s="29"/>
    </row>
    <row r="587" ht="18.0" customHeight="1">
      <c r="G587" s="29"/>
    </row>
    <row r="588" ht="18.0" customHeight="1">
      <c r="G588" s="29"/>
    </row>
    <row r="589" ht="18.0" customHeight="1">
      <c r="G589" s="29"/>
    </row>
    <row r="590" ht="18.0" customHeight="1">
      <c r="G590" s="29"/>
    </row>
    <row r="591" ht="18.0" customHeight="1">
      <c r="G591" s="29"/>
    </row>
    <row r="592" ht="18.0" customHeight="1">
      <c r="G592" s="29"/>
    </row>
    <row r="593" ht="18.0" customHeight="1">
      <c r="G593" s="29"/>
    </row>
    <row r="594" ht="18.0" customHeight="1">
      <c r="G594" s="29"/>
    </row>
    <row r="595" ht="18.0" customHeight="1">
      <c r="G595" s="29"/>
    </row>
    <row r="596" ht="18.0" customHeight="1">
      <c r="G596" s="29"/>
    </row>
    <row r="597" ht="18.0" customHeight="1">
      <c r="G597" s="29"/>
    </row>
    <row r="598" ht="18.0" customHeight="1">
      <c r="G598" s="29"/>
    </row>
    <row r="599" ht="18.0" customHeight="1">
      <c r="G599" s="29"/>
    </row>
    <row r="600" ht="18.0" customHeight="1">
      <c r="G600" s="29"/>
    </row>
    <row r="601" ht="18.0" customHeight="1">
      <c r="G601" s="29"/>
    </row>
    <row r="602" ht="18.0" customHeight="1">
      <c r="G602" s="29"/>
    </row>
    <row r="603" ht="18.0" customHeight="1">
      <c r="G603" s="29"/>
    </row>
    <row r="604" ht="18.0" customHeight="1">
      <c r="G604" s="29"/>
    </row>
    <row r="605" ht="18.0" customHeight="1">
      <c r="G605" s="29"/>
    </row>
    <row r="606" ht="18.0" customHeight="1">
      <c r="G606" s="29"/>
    </row>
    <row r="607" ht="18.0" customHeight="1">
      <c r="G607" s="29"/>
    </row>
    <row r="608" ht="18.0" customHeight="1">
      <c r="G608" s="29"/>
    </row>
    <row r="609" ht="18.0" customHeight="1">
      <c r="G609" s="29"/>
    </row>
    <row r="610" ht="18.0" customHeight="1">
      <c r="G610" s="29"/>
    </row>
    <row r="611" ht="18.0" customHeight="1">
      <c r="G611" s="29"/>
    </row>
    <row r="612" ht="18.0" customHeight="1">
      <c r="G612" s="29"/>
    </row>
    <row r="613" ht="18.0" customHeight="1">
      <c r="G613" s="29"/>
    </row>
    <row r="614" ht="18.0" customHeight="1">
      <c r="G614" s="29"/>
    </row>
    <row r="615" ht="18.0" customHeight="1">
      <c r="G615" s="29"/>
    </row>
    <row r="616" ht="18.0" customHeight="1">
      <c r="G616" s="29"/>
    </row>
    <row r="617" ht="18.0" customHeight="1">
      <c r="G617" s="29"/>
    </row>
    <row r="618" ht="18.0" customHeight="1">
      <c r="G618" s="29"/>
    </row>
    <row r="619" ht="18.0" customHeight="1">
      <c r="G619" s="29"/>
    </row>
    <row r="620" ht="18.0" customHeight="1">
      <c r="G620" s="29"/>
    </row>
    <row r="621" ht="18.0" customHeight="1">
      <c r="G621" s="29"/>
    </row>
    <row r="622" ht="18.0" customHeight="1">
      <c r="G622" s="29"/>
    </row>
    <row r="623" ht="18.0" customHeight="1">
      <c r="G623" s="29"/>
    </row>
    <row r="624" ht="18.0" customHeight="1">
      <c r="G624" s="29"/>
    </row>
    <row r="625" ht="18.0" customHeight="1">
      <c r="G625" s="29"/>
    </row>
    <row r="626" ht="18.0" customHeight="1">
      <c r="G626" s="29"/>
    </row>
    <row r="627" ht="18.0" customHeight="1">
      <c r="G627" s="29"/>
    </row>
    <row r="628" ht="18.0" customHeight="1">
      <c r="G628" s="29"/>
    </row>
    <row r="629" ht="18.0" customHeight="1">
      <c r="G629" s="29"/>
    </row>
    <row r="630" ht="18.0" customHeight="1">
      <c r="G630" s="29"/>
    </row>
    <row r="631" ht="18.0" customHeight="1">
      <c r="G631" s="29"/>
    </row>
    <row r="632" ht="18.0" customHeight="1">
      <c r="G632" s="29"/>
    </row>
    <row r="633" ht="18.0" customHeight="1">
      <c r="G633" s="29"/>
    </row>
    <row r="634" ht="18.0" customHeight="1">
      <c r="G634" s="29"/>
    </row>
    <row r="635" ht="18.0" customHeight="1">
      <c r="G635" s="29"/>
    </row>
    <row r="636" ht="18.0" customHeight="1">
      <c r="G636" s="29"/>
    </row>
    <row r="637" ht="18.0" customHeight="1">
      <c r="G637" s="29"/>
    </row>
    <row r="638" ht="18.0" customHeight="1">
      <c r="G638" s="29"/>
    </row>
    <row r="639" ht="18.0" customHeight="1">
      <c r="G639" s="29"/>
    </row>
    <row r="640" ht="18.0" customHeight="1">
      <c r="G640" s="29"/>
    </row>
    <row r="641" ht="18.0" customHeight="1">
      <c r="G641" s="29"/>
    </row>
    <row r="642" ht="18.0" customHeight="1">
      <c r="G642" s="29"/>
    </row>
    <row r="643" ht="18.0" customHeight="1">
      <c r="G643" s="29"/>
    </row>
    <row r="644" ht="18.0" customHeight="1">
      <c r="G644" s="29"/>
    </row>
    <row r="645" ht="18.0" customHeight="1">
      <c r="G645" s="29"/>
    </row>
    <row r="646" ht="18.0" customHeight="1">
      <c r="G646" s="29"/>
    </row>
    <row r="647" ht="18.0" customHeight="1">
      <c r="G647" s="29"/>
    </row>
    <row r="648" ht="18.0" customHeight="1">
      <c r="G648" s="29"/>
    </row>
    <row r="649" ht="18.0" customHeight="1">
      <c r="G649" s="29"/>
    </row>
    <row r="650" ht="18.0" customHeight="1">
      <c r="G650" s="29"/>
    </row>
    <row r="651" ht="18.0" customHeight="1">
      <c r="G651" s="29"/>
    </row>
    <row r="652" ht="18.0" customHeight="1">
      <c r="G652" s="29"/>
    </row>
    <row r="653" ht="18.0" customHeight="1">
      <c r="G653" s="29"/>
    </row>
    <row r="654" ht="18.0" customHeight="1">
      <c r="G654" s="29"/>
    </row>
    <row r="655" ht="18.0" customHeight="1">
      <c r="G655" s="29"/>
    </row>
    <row r="656" ht="18.0" customHeight="1">
      <c r="G656" s="29"/>
    </row>
    <row r="657" ht="18.0" customHeight="1">
      <c r="G657" s="29"/>
    </row>
    <row r="658" ht="18.0" customHeight="1">
      <c r="G658" s="29"/>
    </row>
    <row r="659" ht="18.0" customHeight="1">
      <c r="G659" s="29"/>
    </row>
    <row r="660" ht="18.0" customHeight="1">
      <c r="G660" s="29"/>
    </row>
    <row r="661" ht="18.0" customHeight="1">
      <c r="G661" s="29"/>
    </row>
    <row r="662" ht="18.0" customHeight="1">
      <c r="G662" s="29"/>
    </row>
    <row r="663" ht="18.0" customHeight="1">
      <c r="G663" s="29"/>
    </row>
    <row r="664" ht="18.0" customHeight="1">
      <c r="G664" s="29"/>
    </row>
    <row r="665" ht="18.0" customHeight="1">
      <c r="G665" s="29"/>
    </row>
    <row r="666" ht="18.0" customHeight="1">
      <c r="G666" s="29"/>
    </row>
    <row r="667" ht="18.0" customHeight="1">
      <c r="G667" s="29"/>
    </row>
    <row r="668" ht="18.0" customHeight="1">
      <c r="G668" s="29"/>
    </row>
    <row r="669" ht="18.0" customHeight="1">
      <c r="G669" s="29"/>
    </row>
    <row r="670" ht="18.0" customHeight="1">
      <c r="G670" s="29"/>
    </row>
    <row r="671" ht="18.0" customHeight="1">
      <c r="G671" s="29"/>
    </row>
    <row r="672" ht="18.0" customHeight="1">
      <c r="G672" s="29"/>
    </row>
    <row r="673" ht="18.0" customHeight="1">
      <c r="G673" s="29"/>
    </row>
    <row r="674" ht="18.0" customHeight="1">
      <c r="G674" s="29"/>
    </row>
    <row r="675" ht="18.0" customHeight="1">
      <c r="G675" s="29"/>
    </row>
    <row r="676" ht="18.0" customHeight="1">
      <c r="G676" s="29"/>
    </row>
    <row r="677" ht="18.0" customHeight="1">
      <c r="G677" s="29"/>
    </row>
    <row r="678" ht="18.0" customHeight="1">
      <c r="G678" s="29"/>
    </row>
    <row r="679" ht="18.0" customHeight="1">
      <c r="G679" s="29"/>
    </row>
    <row r="680" ht="18.0" customHeight="1">
      <c r="G680" s="29"/>
    </row>
    <row r="681" ht="18.0" customHeight="1">
      <c r="G681" s="29"/>
    </row>
    <row r="682" ht="18.0" customHeight="1">
      <c r="G682" s="29"/>
    </row>
    <row r="683" ht="18.0" customHeight="1">
      <c r="G683" s="29"/>
    </row>
    <row r="684" ht="18.0" customHeight="1">
      <c r="G684" s="29"/>
    </row>
    <row r="685" ht="18.0" customHeight="1">
      <c r="G685" s="29"/>
    </row>
    <row r="686" ht="18.0" customHeight="1">
      <c r="G686" s="29"/>
    </row>
    <row r="687" ht="18.0" customHeight="1">
      <c r="G687" s="29"/>
    </row>
    <row r="688" ht="18.0" customHeight="1">
      <c r="G688" s="29"/>
    </row>
    <row r="689" ht="18.0" customHeight="1">
      <c r="G689" s="29"/>
    </row>
    <row r="690" ht="18.0" customHeight="1">
      <c r="G690" s="29"/>
    </row>
    <row r="691" ht="18.0" customHeight="1">
      <c r="G691" s="29"/>
    </row>
    <row r="692" ht="18.0" customHeight="1">
      <c r="G692" s="29"/>
    </row>
    <row r="693" ht="18.0" customHeight="1">
      <c r="G693" s="29"/>
    </row>
    <row r="694" ht="18.0" customHeight="1">
      <c r="G694" s="29"/>
    </row>
    <row r="695" ht="18.0" customHeight="1">
      <c r="G695" s="29"/>
    </row>
    <row r="696" ht="18.0" customHeight="1">
      <c r="G696" s="29"/>
    </row>
    <row r="697" ht="18.0" customHeight="1">
      <c r="G697" s="29"/>
    </row>
    <row r="698" ht="18.0" customHeight="1">
      <c r="G698" s="29"/>
    </row>
    <row r="699" ht="18.0" customHeight="1">
      <c r="G699" s="29"/>
    </row>
    <row r="700" ht="18.0" customHeight="1">
      <c r="G700" s="29"/>
    </row>
    <row r="701" ht="18.0" customHeight="1">
      <c r="G701" s="29"/>
    </row>
    <row r="702" ht="18.0" customHeight="1">
      <c r="G702" s="29"/>
    </row>
    <row r="703" ht="18.0" customHeight="1">
      <c r="G703" s="29"/>
    </row>
    <row r="704" ht="18.0" customHeight="1">
      <c r="G704" s="29"/>
    </row>
    <row r="705" ht="18.0" customHeight="1">
      <c r="G705" s="29"/>
    </row>
    <row r="706" ht="18.0" customHeight="1">
      <c r="G706" s="29"/>
    </row>
    <row r="707" ht="18.0" customHeight="1">
      <c r="G707" s="29"/>
    </row>
    <row r="708" ht="18.0" customHeight="1">
      <c r="G708" s="29"/>
    </row>
    <row r="709" ht="18.0" customHeight="1">
      <c r="G709" s="29"/>
    </row>
    <row r="710" ht="18.0" customHeight="1">
      <c r="G710" s="29"/>
    </row>
    <row r="711" ht="18.0" customHeight="1">
      <c r="G711" s="29"/>
    </row>
    <row r="712" ht="18.0" customHeight="1">
      <c r="G712" s="29"/>
    </row>
    <row r="713" ht="18.0" customHeight="1">
      <c r="G713" s="29"/>
    </row>
    <row r="714" ht="18.0" customHeight="1">
      <c r="G714" s="29"/>
    </row>
    <row r="715" ht="18.0" customHeight="1">
      <c r="G715" s="29"/>
    </row>
    <row r="716" ht="18.0" customHeight="1">
      <c r="G716" s="29"/>
    </row>
    <row r="717" ht="18.0" customHeight="1">
      <c r="G717" s="29"/>
    </row>
    <row r="718" ht="18.0" customHeight="1">
      <c r="G718" s="29"/>
    </row>
    <row r="719" ht="18.0" customHeight="1">
      <c r="G719" s="29"/>
    </row>
    <row r="720" ht="18.0" customHeight="1">
      <c r="G720" s="29"/>
    </row>
    <row r="721" ht="18.0" customHeight="1">
      <c r="G721" s="29"/>
    </row>
    <row r="722" ht="18.0" customHeight="1">
      <c r="G722" s="29"/>
    </row>
    <row r="723" ht="18.0" customHeight="1">
      <c r="G723" s="29"/>
    </row>
    <row r="724" ht="18.0" customHeight="1">
      <c r="G724" s="29"/>
    </row>
    <row r="725" ht="18.0" customHeight="1">
      <c r="G725" s="29"/>
    </row>
    <row r="726" ht="18.0" customHeight="1">
      <c r="G726" s="29"/>
    </row>
    <row r="727" ht="18.0" customHeight="1">
      <c r="G727" s="29"/>
    </row>
    <row r="728" ht="18.0" customHeight="1">
      <c r="G728" s="29"/>
    </row>
    <row r="729" ht="18.0" customHeight="1">
      <c r="G729" s="29"/>
    </row>
    <row r="730" ht="18.0" customHeight="1">
      <c r="G730" s="29"/>
    </row>
    <row r="731" ht="18.0" customHeight="1">
      <c r="G731" s="29"/>
    </row>
    <row r="732" ht="18.0" customHeight="1">
      <c r="G732" s="29"/>
    </row>
    <row r="733" ht="18.0" customHeight="1">
      <c r="G733" s="29"/>
    </row>
    <row r="734" ht="18.0" customHeight="1">
      <c r="G734" s="29"/>
    </row>
    <row r="735" ht="18.0" customHeight="1">
      <c r="G735" s="29"/>
    </row>
    <row r="736" ht="18.0" customHeight="1">
      <c r="G736" s="29"/>
    </row>
    <row r="737" ht="18.0" customHeight="1">
      <c r="G737" s="29"/>
    </row>
    <row r="738" ht="18.0" customHeight="1">
      <c r="G738" s="29"/>
    </row>
    <row r="739" ht="18.0" customHeight="1">
      <c r="G739" s="29"/>
    </row>
    <row r="740" ht="18.0" customHeight="1">
      <c r="G740" s="29"/>
    </row>
    <row r="741" ht="18.0" customHeight="1">
      <c r="G741" s="29"/>
    </row>
    <row r="742" ht="18.0" customHeight="1">
      <c r="G742" s="29"/>
    </row>
    <row r="743" ht="18.0" customHeight="1">
      <c r="G743" s="29"/>
    </row>
    <row r="744" ht="18.0" customHeight="1">
      <c r="G744" s="29"/>
    </row>
    <row r="745" ht="18.0" customHeight="1">
      <c r="G745" s="29"/>
    </row>
    <row r="746" ht="18.0" customHeight="1">
      <c r="G746" s="29"/>
    </row>
    <row r="747" ht="18.0" customHeight="1">
      <c r="G747" s="29"/>
    </row>
    <row r="748" ht="18.0" customHeight="1">
      <c r="G748" s="29"/>
    </row>
    <row r="749" ht="18.0" customHeight="1">
      <c r="G749" s="29"/>
    </row>
    <row r="750" ht="18.0" customHeight="1">
      <c r="G750" s="29"/>
    </row>
    <row r="751" ht="18.0" customHeight="1">
      <c r="G751" s="29"/>
    </row>
    <row r="752" ht="18.0" customHeight="1">
      <c r="G752" s="29"/>
    </row>
    <row r="753" ht="18.0" customHeight="1">
      <c r="G753" s="29"/>
    </row>
    <row r="754" ht="18.0" customHeight="1">
      <c r="G754" s="29"/>
    </row>
    <row r="755" ht="18.0" customHeight="1">
      <c r="G755" s="29"/>
    </row>
    <row r="756" ht="18.0" customHeight="1">
      <c r="G756" s="29"/>
    </row>
    <row r="757" ht="18.0" customHeight="1">
      <c r="G757" s="29"/>
    </row>
    <row r="758" ht="18.0" customHeight="1">
      <c r="G758" s="29"/>
    </row>
    <row r="759" ht="18.0" customHeight="1">
      <c r="G759" s="29"/>
    </row>
    <row r="760" ht="18.0" customHeight="1">
      <c r="G760" s="29"/>
    </row>
    <row r="761" ht="18.0" customHeight="1">
      <c r="G761" s="29"/>
    </row>
    <row r="762" ht="18.0" customHeight="1">
      <c r="G762" s="29"/>
    </row>
    <row r="763" ht="18.0" customHeight="1">
      <c r="G763" s="29"/>
    </row>
    <row r="764" ht="18.0" customHeight="1">
      <c r="G764" s="29"/>
    </row>
    <row r="765" ht="18.0" customHeight="1">
      <c r="G765" s="29"/>
    </row>
    <row r="766" ht="18.0" customHeight="1">
      <c r="G766" s="29"/>
    </row>
    <row r="767" ht="18.0" customHeight="1">
      <c r="G767" s="29"/>
    </row>
    <row r="768" ht="18.0" customHeight="1">
      <c r="G768" s="29"/>
    </row>
    <row r="769" ht="18.0" customHeight="1">
      <c r="G769" s="29"/>
    </row>
    <row r="770" ht="18.0" customHeight="1">
      <c r="G770" s="29"/>
    </row>
    <row r="771" ht="18.0" customHeight="1">
      <c r="G771" s="29"/>
    </row>
    <row r="772" ht="18.0" customHeight="1">
      <c r="G772" s="29"/>
    </row>
    <row r="773" ht="18.0" customHeight="1">
      <c r="G773" s="29"/>
    </row>
    <row r="774" ht="18.0" customHeight="1">
      <c r="G774" s="29"/>
    </row>
    <row r="775" ht="18.0" customHeight="1">
      <c r="G775" s="29"/>
    </row>
    <row r="776" ht="18.0" customHeight="1">
      <c r="G776" s="29"/>
    </row>
    <row r="777" ht="18.0" customHeight="1">
      <c r="G777" s="29"/>
    </row>
    <row r="778" ht="18.0" customHeight="1">
      <c r="G778" s="29"/>
    </row>
    <row r="779" ht="18.0" customHeight="1">
      <c r="G779" s="29"/>
    </row>
    <row r="780" ht="18.0" customHeight="1">
      <c r="G780" s="29"/>
    </row>
    <row r="781" ht="18.0" customHeight="1">
      <c r="G781" s="29"/>
    </row>
    <row r="782" ht="18.0" customHeight="1">
      <c r="G782" s="29"/>
    </row>
    <row r="783" ht="18.0" customHeight="1">
      <c r="G783" s="29"/>
    </row>
    <row r="784" ht="18.0" customHeight="1">
      <c r="G784" s="29"/>
    </row>
    <row r="785" ht="18.0" customHeight="1">
      <c r="G785" s="29"/>
    </row>
    <row r="786" ht="18.0" customHeight="1">
      <c r="G786" s="29"/>
    </row>
    <row r="787" ht="18.0" customHeight="1">
      <c r="G787" s="29"/>
    </row>
    <row r="788" ht="18.0" customHeight="1">
      <c r="G788" s="29"/>
    </row>
    <row r="789" ht="18.0" customHeight="1">
      <c r="G789" s="29"/>
    </row>
    <row r="790" ht="18.0" customHeight="1">
      <c r="G790" s="29"/>
    </row>
    <row r="791" ht="18.0" customHeight="1">
      <c r="G791" s="29"/>
    </row>
    <row r="792" ht="18.0" customHeight="1">
      <c r="G792" s="29"/>
    </row>
    <row r="793" ht="18.0" customHeight="1">
      <c r="G793" s="29"/>
    </row>
    <row r="794" ht="18.0" customHeight="1">
      <c r="G794" s="29"/>
    </row>
    <row r="795" ht="18.0" customHeight="1">
      <c r="G795" s="29"/>
    </row>
    <row r="796" ht="18.0" customHeight="1">
      <c r="G796" s="29"/>
    </row>
    <row r="797" ht="18.0" customHeight="1">
      <c r="G797" s="29"/>
    </row>
    <row r="798" ht="18.0" customHeight="1">
      <c r="G798" s="29"/>
    </row>
    <row r="799" ht="18.0" customHeight="1">
      <c r="G799" s="29"/>
    </row>
    <row r="800" ht="18.0" customHeight="1">
      <c r="G800" s="29"/>
    </row>
    <row r="801" ht="18.0" customHeight="1">
      <c r="G801" s="29"/>
    </row>
    <row r="802" ht="18.0" customHeight="1">
      <c r="G802" s="29"/>
    </row>
    <row r="803" ht="18.0" customHeight="1">
      <c r="G803" s="29"/>
    </row>
    <row r="804" ht="18.0" customHeight="1">
      <c r="G804" s="29"/>
    </row>
    <row r="805" ht="18.0" customHeight="1">
      <c r="G805" s="29"/>
    </row>
    <row r="806" ht="18.0" customHeight="1">
      <c r="G806" s="29"/>
    </row>
    <row r="807" ht="18.0" customHeight="1">
      <c r="G807" s="29"/>
    </row>
    <row r="808" ht="18.0" customHeight="1">
      <c r="G808" s="29"/>
    </row>
    <row r="809" ht="18.0" customHeight="1">
      <c r="G809" s="29"/>
    </row>
    <row r="810" ht="18.0" customHeight="1">
      <c r="G810" s="29"/>
    </row>
    <row r="811" ht="18.0" customHeight="1">
      <c r="G811" s="29"/>
    </row>
    <row r="812" ht="18.0" customHeight="1">
      <c r="G812" s="29"/>
    </row>
    <row r="813" ht="18.0" customHeight="1">
      <c r="G813" s="29"/>
    </row>
    <row r="814" ht="18.0" customHeight="1">
      <c r="G814" s="29"/>
    </row>
    <row r="815" ht="18.0" customHeight="1">
      <c r="G815" s="29"/>
    </row>
    <row r="816" ht="18.0" customHeight="1">
      <c r="G816" s="29"/>
    </row>
    <row r="817" ht="18.0" customHeight="1">
      <c r="G817" s="29"/>
    </row>
    <row r="818" ht="18.0" customHeight="1">
      <c r="G818" s="29"/>
    </row>
    <row r="819" ht="18.0" customHeight="1">
      <c r="G819" s="29"/>
    </row>
    <row r="820" ht="18.0" customHeight="1">
      <c r="G820" s="29"/>
    </row>
    <row r="821" ht="18.0" customHeight="1">
      <c r="G821" s="29"/>
    </row>
    <row r="822" ht="18.0" customHeight="1">
      <c r="G822" s="29"/>
    </row>
    <row r="823" ht="18.0" customHeight="1">
      <c r="G823" s="29"/>
    </row>
    <row r="824" ht="18.0" customHeight="1">
      <c r="G824" s="29"/>
    </row>
    <row r="825" ht="18.0" customHeight="1">
      <c r="G825" s="29"/>
    </row>
    <row r="826" ht="18.0" customHeight="1">
      <c r="G826" s="29"/>
    </row>
    <row r="827" ht="18.0" customHeight="1">
      <c r="G827" s="29"/>
    </row>
    <row r="828" ht="18.0" customHeight="1">
      <c r="G828" s="29"/>
    </row>
    <row r="829" ht="18.0" customHeight="1">
      <c r="G829" s="29"/>
    </row>
    <row r="830" ht="18.0" customHeight="1">
      <c r="G830" s="29"/>
    </row>
    <row r="831" ht="18.0" customHeight="1">
      <c r="G831" s="29"/>
    </row>
    <row r="832" ht="18.0" customHeight="1">
      <c r="G832" s="29"/>
    </row>
    <row r="833" ht="18.0" customHeight="1">
      <c r="G833" s="29"/>
    </row>
    <row r="834" ht="18.0" customHeight="1">
      <c r="G834" s="29"/>
    </row>
    <row r="835" ht="18.0" customHeight="1">
      <c r="G835" s="29"/>
    </row>
    <row r="836" ht="18.0" customHeight="1">
      <c r="G836" s="29"/>
    </row>
    <row r="837" ht="18.0" customHeight="1">
      <c r="G837" s="29"/>
    </row>
    <row r="838" ht="18.0" customHeight="1">
      <c r="G838" s="29"/>
    </row>
    <row r="839" ht="18.0" customHeight="1">
      <c r="G839" s="29"/>
    </row>
    <row r="840" ht="18.0" customHeight="1">
      <c r="G840" s="29"/>
    </row>
    <row r="841" ht="18.0" customHeight="1">
      <c r="G841" s="29"/>
    </row>
    <row r="842" ht="18.0" customHeight="1">
      <c r="G842" s="29"/>
    </row>
    <row r="843" ht="18.0" customHeight="1">
      <c r="G843" s="29"/>
    </row>
    <row r="844" ht="18.0" customHeight="1">
      <c r="G844" s="29"/>
    </row>
    <row r="845" ht="18.0" customHeight="1">
      <c r="G845" s="29"/>
    </row>
    <row r="846" ht="18.0" customHeight="1">
      <c r="G846" s="29"/>
    </row>
    <row r="847" ht="18.0" customHeight="1">
      <c r="G847" s="29"/>
    </row>
    <row r="848" ht="18.0" customHeight="1">
      <c r="G848" s="29"/>
    </row>
    <row r="849" ht="18.0" customHeight="1">
      <c r="G849" s="29"/>
    </row>
    <row r="850" ht="18.0" customHeight="1">
      <c r="G850" s="29"/>
    </row>
    <row r="851" ht="18.0" customHeight="1">
      <c r="G851" s="29"/>
    </row>
    <row r="852" ht="18.0" customHeight="1">
      <c r="G852" s="29"/>
    </row>
    <row r="853" ht="18.0" customHeight="1">
      <c r="G853" s="29"/>
    </row>
    <row r="854" ht="18.0" customHeight="1">
      <c r="G854" s="29"/>
    </row>
    <row r="855" ht="18.0" customHeight="1">
      <c r="G855" s="29"/>
    </row>
    <row r="856" ht="18.0" customHeight="1">
      <c r="G856" s="29"/>
    </row>
    <row r="857" ht="18.0" customHeight="1">
      <c r="G857" s="29"/>
    </row>
    <row r="858" ht="18.0" customHeight="1">
      <c r="G858" s="29"/>
    </row>
    <row r="859" ht="18.0" customHeight="1">
      <c r="G859" s="29"/>
    </row>
    <row r="860" ht="18.0" customHeight="1">
      <c r="G860" s="29"/>
    </row>
    <row r="861" ht="18.0" customHeight="1">
      <c r="G861" s="29"/>
    </row>
    <row r="862" ht="18.0" customHeight="1">
      <c r="G862" s="29"/>
    </row>
    <row r="863" ht="18.0" customHeight="1">
      <c r="G863" s="29"/>
    </row>
    <row r="864" ht="18.0" customHeight="1">
      <c r="G864" s="29"/>
    </row>
    <row r="865" ht="18.0" customHeight="1">
      <c r="G865" s="29"/>
    </row>
    <row r="866" ht="18.0" customHeight="1">
      <c r="G866" s="29"/>
    </row>
    <row r="867" ht="18.0" customHeight="1">
      <c r="G867" s="29"/>
    </row>
    <row r="868" ht="18.0" customHeight="1">
      <c r="G868" s="29"/>
    </row>
    <row r="869" ht="18.0" customHeight="1">
      <c r="G869" s="29"/>
    </row>
    <row r="870" ht="18.0" customHeight="1">
      <c r="G870" s="29"/>
    </row>
    <row r="871" ht="18.0" customHeight="1">
      <c r="G871" s="29"/>
    </row>
    <row r="872" ht="18.0" customHeight="1">
      <c r="G872" s="29"/>
    </row>
    <row r="873" ht="18.0" customHeight="1">
      <c r="G873" s="29"/>
    </row>
    <row r="874" ht="18.0" customHeight="1">
      <c r="G874" s="29"/>
    </row>
    <row r="875" ht="18.0" customHeight="1">
      <c r="G875" s="29"/>
    </row>
    <row r="876" ht="18.0" customHeight="1">
      <c r="G876" s="29"/>
    </row>
    <row r="877" ht="18.0" customHeight="1">
      <c r="G877" s="29"/>
    </row>
    <row r="878" ht="18.0" customHeight="1">
      <c r="G878" s="29"/>
    </row>
    <row r="879" ht="18.0" customHeight="1">
      <c r="G879" s="29"/>
    </row>
    <row r="880" ht="18.0" customHeight="1">
      <c r="G880" s="29"/>
    </row>
    <row r="881" ht="18.0" customHeight="1">
      <c r="G881" s="29"/>
    </row>
    <row r="882" ht="18.0" customHeight="1">
      <c r="G882" s="29"/>
    </row>
    <row r="883" ht="18.0" customHeight="1">
      <c r="G883" s="29"/>
    </row>
    <row r="884" ht="18.0" customHeight="1">
      <c r="G884" s="29"/>
    </row>
    <row r="885" ht="18.0" customHeight="1">
      <c r="G885" s="29"/>
    </row>
    <row r="886" ht="18.0" customHeight="1">
      <c r="G886" s="29"/>
    </row>
    <row r="887" ht="18.0" customHeight="1">
      <c r="G887" s="29"/>
    </row>
    <row r="888" ht="18.0" customHeight="1">
      <c r="G888" s="29"/>
    </row>
    <row r="889" ht="18.0" customHeight="1">
      <c r="G889" s="29"/>
    </row>
    <row r="890" ht="18.0" customHeight="1">
      <c r="G890" s="29"/>
    </row>
    <row r="891" ht="18.0" customHeight="1">
      <c r="G891" s="29"/>
    </row>
    <row r="892" ht="18.0" customHeight="1">
      <c r="G892" s="29"/>
    </row>
    <row r="893" ht="18.0" customHeight="1">
      <c r="G893" s="29"/>
    </row>
    <row r="894" ht="18.0" customHeight="1">
      <c r="G894" s="29"/>
    </row>
    <row r="895" ht="18.0" customHeight="1">
      <c r="G895" s="29"/>
    </row>
    <row r="896" ht="18.0" customHeight="1">
      <c r="G896" s="29"/>
    </row>
    <row r="897" ht="18.0" customHeight="1">
      <c r="G897" s="29"/>
    </row>
    <row r="898" ht="18.0" customHeight="1">
      <c r="G898" s="29"/>
    </row>
    <row r="899" ht="18.0" customHeight="1">
      <c r="G899" s="29"/>
    </row>
    <row r="900" ht="18.0" customHeight="1">
      <c r="G900" s="29"/>
    </row>
    <row r="901" ht="18.0" customHeight="1">
      <c r="G901" s="29"/>
    </row>
    <row r="902" ht="18.0" customHeight="1">
      <c r="G902" s="29"/>
    </row>
    <row r="903" ht="18.0" customHeight="1">
      <c r="G903" s="29"/>
    </row>
    <row r="904" ht="18.0" customHeight="1">
      <c r="G904" s="29"/>
    </row>
    <row r="905" ht="18.0" customHeight="1">
      <c r="G905" s="29"/>
    </row>
    <row r="906" ht="18.0" customHeight="1">
      <c r="G906" s="29"/>
    </row>
    <row r="907" ht="18.0" customHeight="1">
      <c r="G907" s="29"/>
    </row>
    <row r="908" ht="18.0" customHeight="1">
      <c r="G908" s="29"/>
    </row>
    <row r="909" ht="18.0" customHeight="1">
      <c r="G909" s="29"/>
    </row>
    <row r="910" ht="18.0" customHeight="1">
      <c r="G910" s="29"/>
    </row>
    <row r="911" ht="18.0" customHeight="1">
      <c r="G911" s="29"/>
    </row>
    <row r="912" ht="18.0" customHeight="1">
      <c r="G912" s="29"/>
    </row>
    <row r="913" ht="18.0" customHeight="1">
      <c r="G913" s="29"/>
    </row>
    <row r="914" ht="18.0" customHeight="1">
      <c r="G914" s="29"/>
    </row>
    <row r="915" ht="18.0" customHeight="1">
      <c r="G915" s="29"/>
    </row>
    <row r="916" ht="18.0" customHeight="1">
      <c r="G916" s="29"/>
    </row>
    <row r="917" ht="18.0" customHeight="1">
      <c r="G917" s="29"/>
    </row>
    <row r="918" ht="18.0" customHeight="1">
      <c r="G918" s="29"/>
    </row>
    <row r="919" ht="18.0" customHeight="1">
      <c r="G919" s="29"/>
    </row>
    <row r="920" ht="18.0" customHeight="1">
      <c r="G920" s="29"/>
    </row>
    <row r="921" ht="18.0" customHeight="1">
      <c r="G921" s="29"/>
    </row>
    <row r="922" ht="18.0" customHeight="1">
      <c r="G922" s="29"/>
    </row>
    <row r="923" ht="18.0" customHeight="1">
      <c r="G923" s="29"/>
    </row>
    <row r="924" ht="18.0" customHeight="1">
      <c r="G924" s="29"/>
    </row>
    <row r="925" ht="18.0" customHeight="1">
      <c r="G925" s="29"/>
    </row>
    <row r="926" ht="18.0" customHeight="1">
      <c r="G926" s="29"/>
    </row>
    <row r="927" ht="18.0" customHeight="1">
      <c r="G927" s="29"/>
    </row>
    <row r="928" ht="18.0" customHeight="1">
      <c r="G928" s="29"/>
    </row>
    <row r="929" ht="18.0" customHeight="1">
      <c r="G929" s="29"/>
    </row>
    <row r="930" ht="18.0" customHeight="1">
      <c r="G930" s="29"/>
    </row>
    <row r="931" ht="18.0" customHeight="1">
      <c r="G931" s="29"/>
    </row>
    <row r="932" ht="18.0" customHeight="1">
      <c r="G932" s="29"/>
    </row>
    <row r="933" ht="18.0" customHeight="1">
      <c r="G933" s="29"/>
    </row>
    <row r="934" ht="18.0" customHeight="1">
      <c r="G934" s="29"/>
    </row>
    <row r="935" ht="18.0" customHeight="1">
      <c r="G935" s="29"/>
    </row>
    <row r="936" ht="18.0" customHeight="1">
      <c r="G936" s="29"/>
    </row>
    <row r="937" ht="18.0" customHeight="1">
      <c r="G937" s="29"/>
    </row>
    <row r="938" ht="18.0" customHeight="1">
      <c r="G938" s="29"/>
    </row>
    <row r="939" ht="18.0" customHeight="1">
      <c r="G939" s="29"/>
    </row>
    <row r="940" ht="18.0" customHeight="1">
      <c r="G940" s="29"/>
    </row>
    <row r="941" ht="18.0" customHeight="1">
      <c r="G941" s="29"/>
    </row>
    <row r="942" ht="18.0" customHeight="1">
      <c r="G942" s="29"/>
    </row>
    <row r="943" ht="18.0" customHeight="1">
      <c r="G943" s="29"/>
    </row>
    <row r="944" ht="18.0" customHeight="1">
      <c r="G944" s="29"/>
    </row>
    <row r="945" ht="18.0" customHeight="1">
      <c r="G945" s="29"/>
    </row>
    <row r="946" ht="18.0" customHeight="1">
      <c r="G946" s="29"/>
    </row>
    <row r="947" ht="18.0" customHeight="1">
      <c r="G947" s="29"/>
    </row>
    <row r="948" ht="18.0" customHeight="1">
      <c r="G948" s="29"/>
    </row>
    <row r="949" ht="18.0" customHeight="1">
      <c r="G949" s="29"/>
    </row>
    <row r="950" ht="18.0" customHeight="1">
      <c r="G950" s="29"/>
    </row>
    <row r="951" ht="18.0" customHeight="1">
      <c r="G951" s="29"/>
    </row>
    <row r="952" ht="18.0" customHeight="1">
      <c r="G952" s="29"/>
    </row>
    <row r="953" ht="18.0" customHeight="1">
      <c r="G953" s="29"/>
    </row>
    <row r="954" ht="18.0" customHeight="1">
      <c r="G954" s="29"/>
    </row>
    <row r="955" ht="18.0" customHeight="1">
      <c r="G955" s="29"/>
    </row>
    <row r="956" ht="18.0" customHeight="1">
      <c r="G956" s="29"/>
    </row>
    <row r="957" ht="18.0" customHeight="1">
      <c r="G957" s="29"/>
    </row>
    <row r="958" ht="18.0" customHeight="1">
      <c r="G958" s="29"/>
    </row>
    <row r="959" ht="18.0" customHeight="1">
      <c r="G959" s="29"/>
    </row>
    <row r="960" ht="18.0" customHeight="1">
      <c r="G960" s="29"/>
    </row>
    <row r="961" ht="18.0" customHeight="1">
      <c r="G961" s="29"/>
    </row>
    <row r="962" ht="18.0" customHeight="1">
      <c r="G962" s="29"/>
    </row>
    <row r="963" ht="18.0" customHeight="1">
      <c r="G963" s="29"/>
    </row>
    <row r="964" ht="18.0" customHeight="1">
      <c r="G964" s="29"/>
    </row>
    <row r="965" ht="18.0" customHeight="1">
      <c r="G965" s="29"/>
    </row>
    <row r="966" ht="18.0" customHeight="1">
      <c r="G966" s="29"/>
    </row>
    <row r="967" ht="18.0" customHeight="1">
      <c r="G967" s="29"/>
    </row>
    <row r="968" ht="18.0" customHeight="1">
      <c r="G968" s="29"/>
    </row>
    <row r="969" ht="18.0" customHeight="1">
      <c r="G969" s="29"/>
    </row>
    <row r="970" ht="18.0" customHeight="1">
      <c r="G970" s="29"/>
    </row>
    <row r="971" ht="18.0" customHeight="1">
      <c r="G971" s="29"/>
    </row>
    <row r="972" ht="18.0" customHeight="1">
      <c r="G972" s="29"/>
    </row>
    <row r="973" ht="18.0" customHeight="1">
      <c r="G973" s="29"/>
    </row>
  </sheetData>
  <dataValidations>
    <dataValidation type="list" allowBlank="1" showErrorMessage="1" sqref="G2:G973">
      <formula1>"Новий,🟡 В діалозі,🔵 Очікує відповідь,Ми очікуємо на відповідь,🟠 Треба фолоу-апнути,🟢 Угода,❌ Відмова / Зник,Заморожено"</formula1>
    </dataValidation>
  </dataValidations>
  <hyperlinks>
    <hyperlink r:id="rId1" ref="C69"/>
    <hyperlink r:id="rId2" ref="C73"/>
    <hyperlink r:id="rId3" ref="E86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30" t="s">
        <v>442</v>
      </c>
      <c r="B1" s="30" t="s">
        <v>443</v>
      </c>
      <c r="C1" s="30" t="s">
        <v>444</v>
      </c>
      <c r="D1" s="30" t="s">
        <v>445</v>
      </c>
      <c r="E1" s="30" t="s">
        <v>446</v>
      </c>
      <c r="F1" s="30" t="s">
        <v>447</v>
      </c>
      <c r="G1" s="30" t="s">
        <v>448</v>
      </c>
      <c r="H1" s="30" t="s">
        <v>449</v>
      </c>
      <c r="I1" s="30" t="s">
        <v>450</v>
      </c>
      <c r="J1" s="30" t="s">
        <v>451</v>
      </c>
      <c r="K1" s="30" t="s">
        <v>452</v>
      </c>
      <c r="L1" s="30" t="s">
        <v>453</v>
      </c>
      <c r="M1" s="30" t="s">
        <v>454</v>
      </c>
      <c r="N1" s="30" t="s">
        <v>455</v>
      </c>
      <c r="O1" s="30" t="s">
        <v>456</v>
      </c>
      <c r="P1" s="30" t="s">
        <v>457</v>
      </c>
      <c r="Q1" s="30" t="s">
        <v>458</v>
      </c>
      <c r="R1" s="30" t="s">
        <v>459</v>
      </c>
      <c r="S1" s="30" t="s">
        <v>460</v>
      </c>
      <c r="T1" s="30" t="s">
        <v>461</v>
      </c>
      <c r="U1" s="30" t="s">
        <v>462</v>
      </c>
      <c r="V1" s="30" t="s">
        <v>463</v>
      </c>
      <c r="W1" s="30" t="s">
        <v>464</v>
      </c>
      <c r="X1" s="30" t="s">
        <v>465</v>
      </c>
      <c r="Y1" s="30" t="s">
        <v>466</v>
      </c>
      <c r="Z1" s="30" t="s">
        <v>467</v>
      </c>
    </row>
    <row r="2">
      <c r="A2" s="30" t="s">
        <v>468</v>
      </c>
      <c r="B2" s="31">
        <v>11.0</v>
      </c>
      <c r="C2" s="31">
        <v>5.0</v>
      </c>
      <c r="D2" s="31">
        <v>20.0</v>
      </c>
      <c r="E2" s="31">
        <v>13.0</v>
      </c>
      <c r="F2" s="31">
        <v>19.0</v>
      </c>
      <c r="G2" s="31">
        <v>15.0</v>
      </c>
      <c r="H2" s="31">
        <v>11.0</v>
      </c>
      <c r="I2" s="31">
        <v>4.0</v>
      </c>
      <c r="J2" s="31">
        <v>3.0</v>
      </c>
      <c r="K2" s="31">
        <v>6.0</v>
      </c>
      <c r="L2" s="31">
        <v>18.0</v>
      </c>
      <c r="M2" s="31">
        <v>22.0</v>
      </c>
      <c r="N2" s="31">
        <v>13.0</v>
      </c>
      <c r="O2" s="31">
        <v>19.0</v>
      </c>
      <c r="P2" s="31">
        <v>18.0</v>
      </c>
      <c r="Q2" s="31">
        <v>12.0</v>
      </c>
      <c r="R2" s="31">
        <v>19.0</v>
      </c>
      <c r="S2" s="31">
        <v>14.0</v>
      </c>
      <c r="T2" s="31">
        <v>16.0</v>
      </c>
      <c r="U2" s="31">
        <v>20.0</v>
      </c>
      <c r="V2" s="31">
        <v>23.0</v>
      </c>
      <c r="W2" s="31">
        <v>20.5277777777778</v>
      </c>
      <c r="X2" s="31">
        <v>21.2111111111111</v>
      </c>
      <c r="Y2" s="31">
        <v>21.8944444444445</v>
      </c>
      <c r="Z2" s="31">
        <v>20.0</v>
      </c>
    </row>
    <row r="3">
      <c r="A3" s="30" t="s">
        <v>469</v>
      </c>
      <c r="B3" s="31">
        <v>4.0</v>
      </c>
      <c r="C3" s="31">
        <v>1.0</v>
      </c>
      <c r="D3" s="31">
        <v>8.0</v>
      </c>
      <c r="E3" s="31">
        <v>10.0</v>
      </c>
      <c r="F3" s="31">
        <v>6.0</v>
      </c>
      <c r="G3" s="31">
        <v>9.0</v>
      </c>
      <c r="H3" s="31">
        <v>7.0</v>
      </c>
      <c r="I3" s="31">
        <v>1.0</v>
      </c>
      <c r="J3" s="31">
        <v>1.0</v>
      </c>
      <c r="K3" s="31">
        <v>2.0</v>
      </c>
      <c r="L3" s="31">
        <v>8.0</v>
      </c>
      <c r="M3" s="31">
        <v>10.0</v>
      </c>
      <c r="N3" s="31">
        <v>9.0</v>
      </c>
      <c r="O3" s="31">
        <v>15.0</v>
      </c>
      <c r="P3" s="31">
        <v>13.0</v>
      </c>
      <c r="Q3" s="31">
        <v>4.0</v>
      </c>
      <c r="R3" s="31">
        <v>3.0</v>
      </c>
      <c r="S3" s="31">
        <v>5.0</v>
      </c>
      <c r="T3" s="31">
        <v>3.0</v>
      </c>
      <c r="U3" s="31">
        <v>9.0</v>
      </c>
      <c r="V3" s="31">
        <v>12.0</v>
      </c>
      <c r="W3" s="31">
        <v>6.02777777777778</v>
      </c>
      <c r="X3" s="31">
        <v>5.61111111111111</v>
      </c>
      <c r="Y3" s="31">
        <v>5.19444444444444</v>
      </c>
      <c r="Z3" s="31">
        <v>8.0</v>
      </c>
    </row>
    <row r="4">
      <c r="A4" s="30" t="s">
        <v>470</v>
      </c>
      <c r="B4" s="31">
        <v>1.0</v>
      </c>
      <c r="C4" s="31">
        <v>1.0</v>
      </c>
      <c r="D4" s="31">
        <v>4.0</v>
      </c>
      <c r="E4" s="31">
        <v>5.0</v>
      </c>
      <c r="F4" s="31">
        <v>4.0</v>
      </c>
      <c r="G4" s="31">
        <v>3.0</v>
      </c>
      <c r="H4" s="31">
        <v>3.0</v>
      </c>
      <c r="I4" s="31">
        <v>0.0</v>
      </c>
      <c r="J4" s="31">
        <v>1.0</v>
      </c>
      <c r="K4" s="31">
        <v>1.0</v>
      </c>
      <c r="L4" s="31">
        <v>5.0</v>
      </c>
      <c r="M4" s="31">
        <v>5.0</v>
      </c>
      <c r="N4" s="31">
        <v>2.0</v>
      </c>
      <c r="O4" s="31">
        <v>9.0</v>
      </c>
      <c r="P4" s="31">
        <v>5.0</v>
      </c>
      <c r="Q4" s="31">
        <v>2.0</v>
      </c>
      <c r="R4" s="31">
        <v>0.0</v>
      </c>
      <c r="S4" s="31">
        <v>0.0</v>
      </c>
      <c r="T4" s="31">
        <v>1.0</v>
      </c>
      <c r="U4" s="31">
        <v>4.0</v>
      </c>
      <c r="V4" s="31">
        <v>5.0</v>
      </c>
      <c r="W4" s="31">
        <v>2.02777777777778</v>
      </c>
      <c r="X4" s="31">
        <v>1.81111111111111</v>
      </c>
      <c r="Y4" s="31">
        <v>1.59444444444444</v>
      </c>
      <c r="Z4" s="31">
        <v>5.0</v>
      </c>
    </row>
    <row r="5">
      <c r="A5" s="30" t="s">
        <v>471</v>
      </c>
      <c r="B5" s="31">
        <v>0.0</v>
      </c>
      <c r="C5" s="31">
        <v>0.0</v>
      </c>
      <c r="D5" s="31">
        <v>1.0</v>
      </c>
      <c r="E5" s="31">
        <v>1.0</v>
      </c>
      <c r="F5" s="31">
        <v>1.0</v>
      </c>
      <c r="G5" s="31">
        <v>0.0</v>
      </c>
      <c r="H5" s="31">
        <v>1.0</v>
      </c>
      <c r="I5" s="31">
        <v>2.0</v>
      </c>
      <c r="J5" s="31">
        <v>0.0</v>
      </c>
      <c r="K5" s="31">
        <v>1.0</v>
      </c>
      <c r="L5" s="31">
        <v>0.0</v>
      </c>
      <c r="M5" s="31">
        <v>0.0</v>
      </c>
      <c r="N5" s="31">
        <v>0.0</v>
      </c>
      <c r="O5" s="31">
        <v>0.0</v>
      </c>
      <c r="P5" s="31">
        <v>1.0</v>
      </c>
      <c r="Q5" s="31">
        <v>0.0</v>
      </c>
      <c r="R5" s="31">
        <v>0.0</v>
      </c>
      <c r="S5" s="31">
        <v>0.0</v>
      </c>
      <c r="T5" s="31">
        <v>0.0</v>
      </c>
      <c r="U5" s="31">
        <v>0.0</v>
      </c>
      <c r="V5" s="31">
        <v>2.0</v>
      </c>
      <c r="W5" s="31">
        <v>0.833333333333333</v>
      </c>
      <c r="X5" s="31">
        <v>0.933333333333333</v>
      </c>
      <c r="Y5" s="31">
        <v>1.03333333333333</v>
      </c>
      <c r="Z5" s="31">
        <v>0.0</v>
      </c>
    </row>
    <row r="6">
      <c r="A6" s="30" t="s">
        <v>472</v>
      </c>
      <c r="B6" s="31">
        <v>0.0</v>
      </c>
      <c r="C6" s="31">
        <v>0.0</v>
      </c>
      <c r="D6" s="31">
        <v>2.0</v>
      </c>
      <c r="E6" s="31">
        <v>0.0</v>
      </c>
      <c r="F6" s="31">
        <v>0.0</v>
      </c>
      <c r="G6" s="31">
        <v>0.0</v>
      </c>
      <c r="H6" s="31">
        <v>0.0</v>
      </c>
      <c r="I6" s="31">
        <v>0.0</v>
      </c>
      <c r="J6" s="31">
        <v>0.0</v>
      </c>
      <c r="K6" s="31">
        <v>0.0</v>
      </c>
      <c r="L6" s="31">
        <v>0.0</v>
      </c>
      <c r="M6" s="31">
        <v>0.0</v>
      </c>
      <c r="N6" s="31">
        <v>0.0</v>
      </c>
      <c r="O6" s="31">
        <v>0.0</v>
      </c>
      <c r="P6" s="31">
        <v>0.0</v>
      </c>
      <c r="Q6" s="32"/>
      <c r="R6" s="31">
        <v>1.0</v>
      </c>
      <c r="S6" s="31">
        <v>0.0</v>
      </c>
      <c r="T6" s="31">
        <v>0.0</v>
      </c>
      <c r="U6" s="31">
        <v>0.0</v>
      </c>
      <c r="V6" s="31">
        <v>0.0</v>
      </c>
      <c r="W6" s="31">
        <v>0.0</v>
      </c>
      <c r="X6" s="31">
        <v>0.0</v>
      </c>
      <c r="Y6" s="31">
        <v>0.0</v>
      </c>
      <c r="Z6" s="31">
        <v>0.0</v>
      </c>
    </row>
    <row r="7">
      <c r="A7" s="30" t="s">
        <v>473</v>
      </c>
      <c r="B7" s="32"/>
      <c r="C7" s="31">
        <v>-136.0</v>
      </c>
      <c r="D7" s="31">
        <v>-382.0</v>
      </c>
      <c r="E7" s="31">
        <v>-142.0</v>
      </c>
      <c r="F7" s="31">
        <v>-285.0</v>
      </c>
      <c r="G7" s="31">
        <v>-297.0</v>
      </c>
      <c r="H7" s="31">
        <v>-185.0</v>
      </c>
      <c r="I7" s="31">
        <v>-80.0</v>
      </c>
      <c r="J7" s="31">
        <v>-67.0</v>
      </c>
      <c r="K7" s="31">
        <v>-97.0</v>
      </c>
      <c r="L7" s="31">
        <v>-265.0</v>
      </c>
      <c r="M7" s="31">
        <v>-636.0</v>
      </c>
      <c r="N7" s="31">
        <v>-221.0</v>
      </c>
      <c r="O7" s="31">
        <v>-368.0</v>
      </c>
      <c r="P7" s="31">
        <v>-443.0</v>
      </c>
      <c r="Q7" s="32"/>
      <c r="R7" s="32"/>
      <c r="S7" s="31">
        <v>-271.0</v>
      </c>
      <c r="T7" s="31">
        <v>-362.0</v>
      </c>
      <c r="U7" s="31">
        <v>-177.0</v>
      </c>
      <c r="V7" s="32"/>
      <c r="W7" s="31">
        <v>-566.0</v>
      </c>
      <c r="X7" s="31">
        <v>-677.0</v>
      </c>
      <c r="Y7" s="31">
        <v>-788.0</v>
      </c>
      <c r="Z7" s="31">
        <v>653.0</v>
      </c>
    </row>
    <row r="8">
      <c r="A8" s="30" t="s">
        <v>474</v>
      </c>
      <c r="B8" s="32"/>
      <c r="C8" s="31">
        <v>20.0</v>
      </c>
      <c r="D8" s="31">
        <v>72.0</v>
      </c>
      <c r="E8" s="31">
        <v>68.0</v>
      </c>
      <c r="F8" s="31">
        <v>51.0</v>
      </c>
      <c r="G8" s="31">
        <v>122.0</v>
      </c>
      <c r="H8" s="31">
        <v>82.0</v>
      </c>
      <c r="I8" s="31">
        <v>42.0</v>
      </c>
      <c r="J8" s="31">
        <v>44.0</v>
      </c>
      <c r="K8" s="31">
        <v>24.0</v>
      </c>
      <c r="L8" s="31">
        <v>95.0</v>
      </c>
      <c r="M8" s="31">
        <v>397.0</v>
      </c>
      <c r="N8" s="31">
        <v>139.0</v>
      </c>
      <c r="O8" s="31">
        <v>209.0</v>
      </c>
      <c r="P8" s="31">
        <v>335.0</v>
      </c>
      <c r="Q8" s="32"/>
      <c r="R8" s="32"/>
      <c r="S8" s="31">
        <v>16.0</v>
      </c>
      <c r="T8" s="31">
        <v>61.0</v>
      </c>
      <c r="U8" s="31">
        <v>210.0</v>
      </c>
      <c r="V8" s="32"/>
      <c r="W8" s="31">
        <v>423.666666666667</v>
      </c>
      <c r="X8" s="31">
        <v>521.666666666667</v>
      </c>
      <c r="Y8" s="31">
        <v>619.666666666667</v>
      </c>
      <c r="Z8" s="31">
        <v>148.0</v>
      </c>
    </row>
    <row r="9">
      <c r="A9" s="30" t="s">
        <v>475</v>
      </c>
      <c r="B9" s="32"/>
      <c r="C9" s="31">
        <v>-116.0</v>
      </c>
      <c r="D9" s="31">
        <v>-310.0</v>
      </c>
      <c r="E9" s="31">
        <v>-74.0</v>
      </c>
      <c r="F9" s="31">
        <v>-234.0</v>
      </c>
      <c r="G9" s="31">
        <v>-175.0</v>
      </c>
      <c r="H9" s="31">
        <v>-103.0</v>
      </c>
      <c r="I9" s="31">
        <v>-38.0</v>
      </c>
      <c r="J9" s="31">
        <v>-23.0</v>
      </c>
      <c r="K9" s="31">
        <v>-73.0</v>
      </c>
      <c r="L9" s="31">
        <v>-170.0</v>
      </c>
      <c r="M9" s="31">
        <v>-239.0</v>
      </c>
      <c r="N9" s="31">
        <v>-82.0</v>
      </c>
      <c r="O9" s="31">
        <v>-159.0</v>
      </c>
      <c r="P9" s="31">
        <v>-108.0</v>
      </c>
      <c r="Q9" s="31">
        <v>0.0</v>
      </c>
      <c r="R9" s="31">
        <v>0.0</v>
      </c>
      <c r="S9" s="31">
        <v>-255.0</v>
      </c>
      <c r="T9" s="31">
        <v>-301.0</v>
      </c>
      <c r="U9" s="31">
        <v>33.0</v>
      </c>
      <c r="V9" s="31">
        <v>0.0</v>
      </c>
      <c r="W9" s="31">
        <v>-74.972222222222</v>
      </c>
      <c r="X9" s="31">
        <v>-70.5888888888887</v>
      </c>
      <c r="Y9" s="31">
        <v>-66.2055555555554</v>
      </c>
      <c r="Z9" s="31">
        <f>Z7-Z8</f>
        <v>505</v>
      </c>
    </row>
    <row r="10">
      <c r="A10" s="30" t="s">
        <v>476</v>
      </c>
      <c r="B10" s="33">
        <v>0.364</v>
      </c>
      <c r="C10" s="33">
        <v>0.2</v>
      </c>
      <c r="D10" s="33">
        <v>0.4</v>
      </c>
      <c r="E10" s="33">
        <v>0.769</v>
      </c>
      <c r="F10" s="33">
        <v>0.316</v>
      </c>
      <c r="G10" s="33">
        <v>0.6</v>
      </c>
      <c r="H10" s="33">
        <v>0.636</v>
      </c>
      <c r="I10" s="33">
        <v>0.25</v>
      </c>
      <c r="J10" s="33">
        <v>0.333</v>
      </c>
      <c r="K10" s="33">
        <v>0.333</v>
      </c>
      <c r="L10" s="33">
        <v>0.444</v>
      </c>
      <c r="M10" s="33">
        <v>0.455</v>
      </c>
      <c r="N10" s="33">
        <v>0.692</v>
      </c>
      <c r="O10" s="33">
        <v>0.789</v>
      </c>
      <c r="P10" s="33">
        <v>0.722</v>
      </c>
      <c r="Q10" s="33">
        <v>0.333</v>
      </c>
      <c r="R10" s="33">
        <v>0.158</v>
      </c>
      <c r="S10" s="33">
        <v>0.357</v>
      </c>
      <c r="T10" s="33">
        <v>0.188</v>
      </c>
      <c r="U10" s="33">
        <v>0.45</v>
      </c>
      <c r="V10" s="33">
        <v>0.522</v>
      </c>
      <c r="W10" s="33">
        <v>0.239472222222222</v>
      </c>
      <c r="X10" s="33">
        <v>0.193788888888889</v>
      </c>
      <c r="Y10" s="33">
        <v>0.148105555555556</v>
      </c>
      <c r="Z10" s="34">
        <f>Z3/Z2</f>
        <v>0.4</v>
      </c>
    </row>
    <row r="11">
      <c r="A11" s="30" t="s">
        <v>477</v>
      </c>
      <c r="B11" s="33">
        <v>0.091</v>
      </c>
      <c r="C11" s="33">
        <v>0.2</v>
      </c>
      <c r="D11" s="33">
        <v>0.2</v>
      </c>
      <c r="E11" s="33">
        <v>0.385</v>
      </c>
      <c r="F11" s="33">
        <v>0.211</v>
      </c>
      <c r="G11" s="33">
        <v>0.2</v>
      </c>
      <c r="H11" s="33">
        <v>0.273</v>
      </c>
      <c r="I11" s="33">
        <v>0.0</v>
      </c>
      <c r="J11" s="33">
        <v>0.333</v>
      </c>
      <c r="K11" s="33">
        <v>0.167</v>
      </c>
      <c r="L11" s="33">
        <v>0.278</v>
      </c>
      <c r="M11" s="33">
        <v>0.227</v>
      </c>
      <c r="N11" s="33">
        <v>0.154</v>
      </c>
      <c r="O11" s="33">
        <v>0.474</v>
      </c>
      <c r="P11" s="33">
        <v>0.278</v>
      </c>
      <c r="Q11" s="33">
        <v>0.167</v>
      </c>
      <c r="R11" s="33">
        <v>0.0</v>
      </c>
      <c r="S11" s="33">
        <v>0.0</v>
      </c>
      <c r="T11" s="33">
        <v>0.063</v>
      </c>
      <c r="U11" s="33">
        <v>0.2</v>
      </c>
      <c r="V11" s="33">
        <v>0.217</v>
      </c>
      <c r="W11" s="33">
        <v>0.075305555555556</v>
      </c>
      <c r="X11" s="33">
        <v>0.055855555555556</v>
      </c>
      <c r="Y11" s="33">
        <v>0.036405555555556</v>
      </c>
      <c r="Z11" s="34">
        <f>Z4/Z2</f>
        <v>0.25</v>
      </c>
    </row>
    <row r="1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5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5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0" t="s">
        <v>442</v>
      </c>
      <c r="B53" s="36" t="s">
        <v>478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0" t="s">
        <v>468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0" t="s">
        <v>469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0" t="s">
        <v>470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0" t="s">
        <v>471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18" t="s">
        <v>479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0" t="s">
        <v>472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0" t="s">
        <v>473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0" t="s">
        <v>474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0" t="s">
        <v>475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0" t="s">
        <v>476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0" t="s">
        <v>477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1.88"/>
    <col customWidth="1" min="2" max="2" width="14.25"/>
    <col customWidth="1" min="3" max="4" width="13.0"/>
    <col customWidth="1" min="5" max="5" width="13.63"/>
    <col customWidth="1" min="10" max="10" width="15.0"/>
    <col customWidth="1" min="11" max="11" width="16.25"/>
  </cols>
  <sheetData>
    <row r="1">
      <c r="A1" s="37" t="s">
        <v>442</v>
      </c>
      <c r="B1" s="38" t="s">
        <v>480</v>
      </c>
      <c r="C1" s="38" t="s">
        <v>481</v>
      </c>
      <c r="D1" s="38" t="s">
        <v>482</v>
      </c>
      <c r="E1" s="38" t="s">
        <v>483</v>
      </c>
      <c r="F1" s="38" t="s">
        <v>484</v>
      </c>
      <c r="G1" s="38" t="s">
        <v>485</v>
      </c>
      <c r="H1" s="38" t="s">
        <v>486</v>
      </c>
      <c r="I1" s="38" t="s">
        <v>487</v>
      </c>
      <c r="J1" s="38" t="s">
        <v>488</v>
      </c>
      <c r="K1" s="38" t="s">
        <v>489</v>
      </c>
      <c r="L1" s="38" t="s">
        <v>490</v>
      </c>
      <c r="M1" s="38" t="s">
        <v>491</v>
      </c>
      <c r="N1" s="38"/>
      <c r="O1" s="31"/>
      <c r="P1" s="31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7" t="s">
        <v>468</v>
      </c>
      <c r="B2" s="39">
        <v>34.0</v>
      </c>
      <c r="C2" s="39">
        <v>21.0</v>
      </c>
      <c r="D2" s="38">
        <v>17.0</v>
      </c>
      <c r="E2" s="38">
        <v>37.0</v>
      </c>
      <c r="F2" s="38">
        <v>9.0</v>
      </c>
      <c r="G2" s="38">
        <v>15.0</v>
      </c>
      <c r="H2" s="38">
        <v>14.0</v>
      </c>
      <c r="I2" s="38">
        <v>23.0</v>
      </c>
      <c r="J2" s="38">
        <v>17.0</v>
      </c>
      <c r="K2" s="38">
        <v>29.0</v>
      </c>
      <c r="L2" s="38">
        <v>21.0</v>
      </c>
      <c r="M2" s="38">
        <v>24.0</v>
      </c>
      <c r="N2" s="38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7" t="s">
        <v>469</v>
      </c>
      <c r="B3" s="39">
        <v>13.0</v>
      </c>
      <c r="C3" s="39">
        <v>13.0</v>
      </c>
      <c r="D3" s="38">
        <v>11.0</v>
      </c>
      <c r="E3" s="38">
        <v>14.0</v>
      </c>
      <c r="F3" s="38">
        <v>4.0</v>
      </c>
      <c r="G3" s="38">
        <v>9.0</v>
      </c>
      <c r="H3" s="38">
        <v>4.0</v>
      </c>
      <c r="I3" s="38">
        <v>15.0</v>
      </c>
      <c r="J3" s="38">
        <v>7.0</v>
      </c>
      <c r="K3" s="38">
        <v>7.0</v>
      </c>
      <c r="L3" s="38">
        <v>8.0</v>
      </c>
      <c r="M3" s="38">
        <v>11.0</v>
      </c>
      <c r="N3" s="38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7" t="s">
        <v>470</v>
      </c>
      <c r="B4" s="39">
        <v>3.0</v>
      </c>
      <c r="C4" s="39">
        <v>7.0</v>
      </c>
      <c r="D4" s="38">
        <v>5.0</v>
      </c>
      <c r="E4" s="38">
        <v>4.0</v>
      </c>
      <c r="F4" s="38">
        <v>1.0</v>
      </c>
      <c r="G4" s="38">
        <v>4.0</v>
      </c>
      <c r="H4" s="38">
        <v>2.0</v>
      </c>
      <c r="I4" s="38">
        <v>3.0</v>
      </c>
      <c r="J4" s="38">
        <v>3.0</v>
      </c>
      <c r="K4" s="38">
        <v>1.0</v>
      </c>
      <c r="L4" s="38">
        <v>4.0</v>
      </c>
      <c r="M4" s="38">
        <v>2.0</v>
      </c>
      <c r="N4" s="38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40" t="s">
        <v>492</v>
      </c>
      <c r="B5" s="39">
        <v>1.0</v>
      </c>
      <c r="C5" s="39">
        <v>1.0</v>
      </c>
      <c r="D5" s="38">
        <v>1.0</v>
      </c>
      <c r="E5" s="38">
        <v>0.0</v>
      </c>
      <c r="F5" s="38">
        <v>1.0</v>
      </c>
      <c r="G5" s="38">
        <v>0.0</v>
      </c>
      <c r="H5" s="38">
        <v>0.0</v>
      </c>
      <c r="I5" s="38">
        <v>0.0</v>
      </c>
      <c r="J5" s="38">
        <v>1.0</v>
      </c>
      <c r="K5" s="38">
        <v>0.0</v>
      </c>
      <c r="L5" s="38">
        <v>1.0</v>
      </c>
      <c r="M5" s="38">
        <v>0.0</v>
      </c>
      <c r="N5" s="38"/>
      <c r="O5" s="31"/>
      <c r="P5" s="31"/>
      <c r="Q5" s="37"/>
      <c r="R5" s="31"/>
      <c r="S5" s="31"/>
      <c r="T5" s="31"/>
      <c r="U5" s="31"/>
      <c r="V5" s="31"/>
      <c r="W5" s="31"/>
      <c r="X5" s="31"/>
      <c r="Y5" s="31"/>
      <c r="Z5" s="31"/>
    </row>
    <row r="6">
      <c r="A6" s="40" t="s">
        <v>479</v>
      </c>
      <c r="B6" s="39">
        <v>0.0</v>
      </c>
      <c r="C6" s="39">
        <v>0.0</v>
      </c>
      <c r="D6" s="38">
        <v>1.0</v>
      </c>
      <c r="E6" s="38">
        <v>2.0</v>
      </c>
      <c r="F6" s="38">
        <v>1.0</v>
      </c>
      <c r="G6" s="38">
        <v>1.0</v>
      </c>
      <c r="H6" s="38">
        <v>1.0</v>
      </c>
      <c r="I6" s="38">
        <v>2.0</v>
      </c>
      <c r="J6" s="38">
        <v>1.0</v>
      </c>
      <c r="K6" s="38">
        <v>3.0</v>
      </c>
      <c r="L6" s="38">
        <v>2.0</v>
      </c>
      <c r="M6" s="38">
        <v>2.0</v>
      </c>
      <c r="N6" s="38"/>
      <c r="O6" s="31"/>
      <c r="P6" s="31"/>
      <c r="Q6" s="37"/>
      <c r="R6" s="37"/>
      <c r="S6" s="31"/>
      <c r="T6" s="31"/>
      <c r="U6" s="31"/>
      <c r="V6" s="37"/>
      <c r="W6" s="31"/>
      <c r="X6" s="31"/>
      <c r="Y6" s="31"/>
      <c r="Z6" s="31"/>
    </row>
    <row r="7">
      <c r="A7" s="37" t="s">
        <v>472</v>
      </c>
      <c r="B7" s="39">
        <v>0.0</v>
      </c>
      <c r="C7" s="39">
        <v>0.0</v>
      </c>
      <c r="D7" s="38">
        <v>0.0</v>
      </c>
      <c r="E7" s="38">
        <v>1.0</v>
      </c>
      <c r="F7" s="38">
        <v>1.0</v>
      </c>
      <c r="G7" s="38">
        <v>1.0</v>
      </c>
      <c r="H7" s="38">
        <v>0.0</v>
      </c>
      <c r="I7" s="38">
        <v>1.0</v>
      </c>
      <c r="J7" s="38">
        <v>0.0</v>
      </c>
      <c r="K7" s="38">
        <v>0.0</v>
      </c>
      <c r="L7" s="38">
        <v>0.0</v>
      </c>
      <c r="M7" s="38">
        <v>0.0</v>
      </c>
      <c r="N7" s="38"/>
      <c r="O7" s="31"/>
      <c r="P7" s="31"/>
      <c r="Q7" s="37"/>
      <c r="R7" s="37"/>
      <c r="S7" s="31"/>
      <c r="T7" s="31"/>
      <c r="U7" s="31"/>
      <c r="V7" s="37"/>
      <c r="W7" s="31"/>
      <c r="X7" s="31"/>
      <c r="Y7" s="31"/>
      <c r="Z7" s="31"/>
    </row>
    <row r="8">
      <c r="A8" s="40" t="s">
        <v>493</v>
      </c>
      <c r="B8" s="41">
        <v>1042.0</v>
      </c>
      <c r="C8" s="41">
        <v>1213.0</v>
      </c>
      <c r="D8" s="38">
        <v>842.0</v>
      </c>
      <c r="E8" s="42">
        <v>1263.0</v>
      </c>
      <c r="F8" s="38">
        <v>274.0</v>
      </c>
      <c r="G8" s="42">
        <v>486.0</v>
      </c>
      <c r="H8" s="42">
        <v>815.0</v>
      </c>
      <c r="I8" s="38">
        <v>758.0</v>
      </c>
      <c r="J8" s="38">
        <v>529.0</v>
      </c>
      <c r="K8" s="38">
        <v>592.0</v>
      </c>
      <c r="L8" s="38">
        <v>843.0</v>
      </c>
      <c r="M8" s="38">
        <v>1206.0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7" t="s">
        <v>474</v>
      </c>
      <c r="B9" s="43">
        <f>+577</f>
        <v>577</v>
      </c>
      <c r="C9" s="39">
        <v>937.0</v>
      </c>
      <c r="D9" s="38">
        <v>345.0</v>
      </c>
      <c r="E9" s="42">
        <v>420.0</v>
      </c>
      <c r="F9" s="38">
        <v>404.0</v>
      </c>
      <c r="G9" s="38">
        <v>76.0</v>
      </c>
      <c r="H9" s="42">
        <v>268.0</v>
      </c>
      <c r="I9" s="44">
        <v>240.0</v>
      </c>
      <c r="J9" s="44">
        <v>370.0</v>
      </c>
      <c r="K9" s="38">
        <v>204.0</v>
      </c>
      <c r="L9" s="38">
        <v>315.0</v>
      </c>
      <c r="M9" s="38">
        <v>520.0</v>
      </c>
      <c r="N9" s="31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4"/>
    </row>
    <row r="10">
      <c r="A10" s="37" t="s">
        <v>475</v>
      </c>
      <c r="B10" s="39">
        <f t="shared" ref="B10:M10" si="1">B9-B8</f>
        <v>-465</v>
      </c>
      <c r="C10" s="39">
        <f t="shared" si="1"/>
        <v>-276</v>
      </c>
      <c r="D10" s="39">
        <f t="shared" si="1"/>
        <v>-497</v>
      </c>
      <c r="E10" s="39">
        <f t="shared" si="1"/>
        <v>-843</v>
      </c>
      <c r="F10" s="39">
        <f t="shared" si="1"/>
        <v>130</v>
      </c>
      <c r="G10" s="39">
        <f t="shared" si="1"/>
        <v>-410</v>
      </c>
      <c r="H10" s="39">
        <f t="shared" si="1"/>
        <v>-547</v>
      </c>
      <c r="I10" s="39">
        <f t="shared" si="1"/>
        <v>-518</v>
      </c>
      <c r="J10" s="39">
        <f t="shared" si="1"/>
        <v>-159</v>
      </c>
      <c r="K10" s="39">
        <f t="shared" si="1"/>
        <v>-388</v>
      </c>
      <c r="L10" s="39">
        <f t="shared" si="1"/>
        <v>-528</v>
      </c>
      <c r="M10" s="39">
        <f t="shared" si="1"/>
        <v>-686</v>
      </c>
      <c r="N10" s="31"/>
      <c r="O10" s="31"/>
      <c r="P10" s="31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18" t="s">
        <v>494</v>
      </c>
      <c r="J11" s="42">
        <v>70.0</v>
      </c>
      <c r="K11" s="38">
        <v>40.0</v>
      </c>
      <c r="L11" s="38">
        <v>160.0</v>
      </c>
      <c r="M11" s="38">
        <v>200.0</v>
      </c>
      <c r="N11" s="31"/>
      <c r="O11" s="31"/>
      <c r="P11" s="31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 t="s">
        <v>476</v>
      </c>
      <c r="B12" s="45">
        <f t="shared" ref="B12:M12" si="2">B3/B2</f>
        <v>0.3823529412</v>
      </c>
      <c r="C12" s="45">
        <f t="shared" si="2"/>
        <v>0.619047619</v>
      </c>
      <c r="D12" s="45">
        <f t="shared" si="2"/>
        <v>0.6470588235</v>
      </c>
      <c r="E12" s="45">
        <f t="shared" si="2"/>
        <v>0.3783783784</v>
      </c>
      <c r="F12" s="45">
        <f t="shared" si="2"/>
        <v>0.4444444444</v>
      </c>
      <c r="G12" s="45">
        <f t="shared" si="2"/>
        <v>0.6</v>
      </c>
      <c r="H12" s="45">
        <f t="shared" si="2"/>
        <v>0.2857142857</v>
      </c>
      <c r="I12" s="45">
        <f t="shared" si="2"/>
        <v>0.652173913</v>
      </c>
      <c r="J12" s="45">
        <f t="shared" si="2"/>
        <v>0.4117647059</v>
      </c>
      <c r="K12" s="45">
        <f t="shared" si="2"/>
        <v>0.2413793103</v>
      </c>
      <c r="L12" s="45">
        <f t="shared" si="2"/>
        <v>0.380952381</v>
      </c>
      <c r="M12" s="45">
        <f t="shared" si="2"/>
        <v>0.4583333333</v>
      </c>
      <c r="N12" s="31"/>
      <c r="S12" s="37"/>
      <c r="T12" s="37"/>
      <c r="U12" s="37"/>
      <c r="V12" s="37"/>
      <c r="W12" s="37"/>
      <c r="X12" s="37"/>
      <c r="Y12" s="37"/>
      <c r="Z12" s="37"/>
    </row>
    <row r="13">
      <c r="A13" s="37" t="s">
        <v>477</v>
      </c>
      <c r="B13" s="46">
        <f t="shared" ref="B13:M13" si="3">B4/B2</f>
        <v>0.08823529412</v>
      </c>
      <c r="C13" s="46">
        <f t="shared" si="3"/>
        <v>0.3333333333</v>
      </c>
      <c r="D13" s="46">
        <f t="shared" si="3"/>
        <v>0.2941176471</v>
      </c>
      <c r="E13" s="46">
        <f t="shared" si="3"/>
        <v>0.1081081081</v>
      </c>
      <c r="F13" s="46">
        <f t="shared" si="3"/>
        <v>0.1111111111</v>
      </c>
      <c r="G13" s="46">
        <f t="shared" si="3"/>
        <v>0.2666666667</v>
      </c>
      <c r="H13" s="46">
        <f t="shared" si="3"/>
        <v>0.1428571429</v>
      </c>
      <c r="I13" s="46">
        <f t="shared" si="3"/>
        <v>0.1304347826</v>
      </c>
      <c r="J13" s="46">
        <f t="shared" si="3"/>
        <v>0.1764705882</v>
      </c>
      <c r="K13" s="46">
        <f t="shared" si="3"/>
        <v>0.03448275862</v>
      </c>
      <c r="L13" s="46">
        <f t="shared" si="3"/>
        <v>0.1904761905</v>
      </c>
      <c r="M13" s="46">
        <f t="shared" si="3"/>
        <v>0.08333333333</v>
      </c>
      <c r="N13" s="46"/>
      <c r="S13" s="37"/>
      <c r="T13" s="37"/>
      <c r="U13" s="37"/>
      <c r="V13" s="37"/>
      <c r="W13" s="37"/>
      <c r="X13" s="37"/>
      <c r="Y13" s="37"/>
      <c r="Z13" s="37"/>
    </row>
    <row r="14">
      <c r="E14" s="31"/>
      <c r="F14" s="31"/>
      <c r="G14" s="31"/>
      <c r="H14" s="31"/>
      <c r="I14" s="37"/>
      <c r="J14" s="37"/>
      <c r="K14" s="31"/>
      <c r="L14" s="31"/>
      <c r="S14" s="37"/>
      <c r="T14" s="37"/>
      <c r="U14" s="37"/>
      <c r="V14" s="37"/>
      <c r="W14" s="37"/>
      <c r="X14" s="37"/>
      <c r="Y14" s="37"/>
      <c r="Z14" s="37"/>
    </row>
    <row r="15">
      <c r="E15" s="31"/>
      <c r="F15" s="31"/>
      <c r="G15" s="31"/>
      <c r="H15" s="31"/>
      <c r="I15" s="37"/>
      <c r="J15" s="37"/>
      <c r="K15" s="31"/>
      <c r="L15" s="31"/>
      <c r="M15" s="31"/>
      <c r="N15" s="31"/>
      <c r="O15" s="31"/>
      <c r="P15" s="31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H16" s="31"/>
      <c r="I16" s="31"/>
      <c r="J16" s="31"/>
      <c r="K16" s="31"/>
      <c r="L16" s="31"/>
      <c r="M16" s="31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H17" s="31"/>
      <c r="I17" s="31"/>
      <c r="J17" s="31"/>
      <c r="K17" s="31"/>
      <c r="L17" s="31"/>
      <c r="M17" s="31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4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4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 t="s">
        <v>442</v>
      </c>
      <c r="B51" s="40" t="s">
        <v>478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 t="s">
        <v>468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 t="s">
        <v>469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 t="s">
        <v>470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 t="s">
        <v>471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48" t="s">
        <v>479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 t="s">
        <v>472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 t="s">
        <v>473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 t="s">
        <v>474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 t="s">
        <v>475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 t="s">
        <v>476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 t="s">
        <v>477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9.0"/>
  </cols>
  <sheetData>
    <row r="1">
      <c r="A1" s="50" t="s">
        <v>442</v>
      </c>
      <c r="B1" s="38" t="s">
        <v>495</v>
      </c>
      <c r="C1" s="38" t="s">
        <v>496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51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>
      <c r="A2" s="48" t="s">
        <v>497</v>
      </c>
      <c r="B2" s="38">
        <v>20.0</v>
      </c>
      <c r="C2" s="44">
        <v>41.0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51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>
      <c r="A3" s="48" t="s">
        <v>469</v>
      </c>
      <c r="B3" s="38">
        <v>6.0</v>
      </c>
      <c r="C3" s="44">
        <v>11.0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51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>
      <c r="A4" s="48" t="s">
        <v>498</v>
      </c>
      <c r="B4" s="38">
        <v>1.0</v>
      </c>
      <c r="C4" s="44">
        <v>8.0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51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>
      <c r="A5" s="53" t="s">
        <v>499</v>
      </c>
      <c r="B5" s="38">
        <v>20.0</v>
      </c>
      <c r="C5" s="38">
        <v>15.0</v>
      </c>
      <c r="D5" s="51"/>
      <c r="E5" s="51"/>
      <c r="F5" s="51"/>
      <c r="G5" s="51"/>
      <c r="H5" s="51"/>
      <c r="I5" s="51"/>
      <c r="J5" s="51"/>
      <c r="K5" s="51"/>
      <c r="L5" s="51"/>
      <c r="M5" s="44"/>
      <c r="N5" s="51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>
      <c r="A6" s="50" t="s">
        <v>469</v>
      </c>
      <c r="B6" s="38">
        <v>6.0</v>
      </c>
      <c r="C6" s="39">
        <v>5.0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51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>
      <c r="A7" s="50" t="s">
        <v>470</v>
      </c>
      <c r="B7" s="38">
        <v>1.0</v>
      </c>
      <c r="C7" s="39">
        <v>4.0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51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>
      <c r="A8" s="48" t="s">
        <v>471</v>
      </c>
      <c r="B8" s="44">
        <v>0.0</v>
      </c>
      <c r="C8" s="44">
        <v>0.0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51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>
      <c r="A9" s="53" t="s">
        <v>500</v>
      </c>
      <c r="B9" s="44">
        <v>0.0</v>
      </c>
      <c r="C9" s="39">
        <v>26.0</v>
      </c>
      <c r="D9" s="38"/>
      <c r="E9" s="44"/>
      <c r="F9" s="38"/>
      <c r="G9" s="44"/>
      <c r="H9" s="44"/>
      <c r="I9" s="38"/>
      <c r="J9" s="38"/>
      <c r="K9" s="38"/>
      <c r="L9" s="38"/>
      <c r="M9" s="38"/>
      <c r="N9" s="51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>
      <c r="A10" s="50" t="s">
        <v>469</v>
      </c>
      <c r="B10" s="44">
        <v>0.0</v>
      </c>
      <c r="C10" s="39">
        <v>6.0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>
      <c r="A11" s="50" t="s">
        <v>470</v>
      </c>
      <c r="B11" s="44">
        <v>0.0</v>
      </c>
      <c r="C11" s="39">
        <v>4.0</v>
      </c>
      <c r="D11" s="38"/>
      <c r="E11" s="44"/>
      <c r="F11" s="38"/>
      <c r="G11" s="38"/>
      <c r="H11" s="44"/>
      <c r="I11" s="44"/>
      <c r="J11" s="44"/>
      <c r="K11" s="38"/>
      <c r="L11" s="38"/>
      <c r="M11" s="38"/>
      <c r="N11" s="51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>
      <c r="A12" s="53" t="s">
        <v>471</v>
      </c>
      <c r="B12" s="38">
        <v>0.0</v>
      </c>
      <c r="C12" s="44">
        <v>1.0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51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>
      <c r="A13" s="54" t="s">
        <v>501</v>
      </c>
      <c r="B13" s="44">
        <v>0.0</v>
      </c>
      <c r="C13" s="41">
        <v>1.0</v>
      </c>
      <c r="D13" s="51"/>
      <c r="E13" s="51"/>
      <c r="F13" s="51"/>
      <c r="G13" s="51"/>
      <c r="H13" s="51"/>
      <c r="I13" s="51"/>
      <c r="J13" s="44"/>
      <c r="K13" s="38"/>
      <c r="L13" s="38"/>
      <c r="M13" s="38"/>
      <c r="N13" s="51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>
      <c r="A14" s="53" t="s">
        <v>479</v>
      </c>
      <c r="B14" s="38">
        <v>1.0</v>
      </c>
      <c r="C14" s="39">
        <v>3.0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51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>
      <c r="A15" s="50" t="s">
        <v>472</v>
      </c>
      <c r="B15" s="38">
        <v>0.0</v>
      </c>
      <c r="C15" s="39">
        <v>0.0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51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>
      <c r="A16" s="53" t="s">
        <v>502</v>
      </c>
      <c r="B16" s="38">
        <v>420.0</v>
      </c>
      <c r="C16" s="44">
        <v>939.0</v>
      </c>
      <c r="D16" s="51"/>
      <c r="E16" s="31"/>
      <c r="F16" s="31"/>
      <c r="G16" s="31"/>
      <c r="H16" s="31"/>
      <c r="I16" s="31"/>
      <c r="J16" s="31"/>
      <c r="K16" s="31"/>
      <c r="L16" s="31"/>
      <c r="M16" s="51"/>
      <c r="N16" s="51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>
      <c r="A17" s="54" t="s">
        <v>503</v>
      </c>
      <c r="B17" s="44">
        <v>66.0</v>
      </c>
      <c r="C17" s="38">
        <v>133.0</v>
      </c>
      <c r="D17" s="5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>
      <c r="A18" s="54" t="s">
        <v>504</v>
      </c>
      <c r="B18" s="44">
        <v>470.0</v>
      </c>
      <c r="C18" s="38">
        <v>623.0</v>
      </c>
      <c r="D18" s="51"/>
      <c r="E18" s="51"/>
      <c r="F18" s="51"/>
      <c r="G18" s="51"/>
      <c r="H18" s="31"/>
      <c r="I18" s="31"/>
      <c r="J18" s="31"/>
      <c r="K18" s="31"/>
      <c r="L18" s="31"/>
      <c r="M18" s="31"/>
      <c r="N18" s="31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>
      <c r="A19" s="53" t="s">
        <v>505</v>
      </c>
      <c r="B19" s="38">
        <v>380.0</v>
      </c>
      <c r="C19" s="44">
        <v>590.0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>
      <c r="A20" s="37" t="s">
        <v>506</v>
      </c>
      <c r="B20" s="55">
        <v>200.0</v>
      </c>
      <c r="C20" s="44">
        <v>300.0</v>
      </c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>
      <c r="A21" s="48" t="s">
        <v>507</v>
      </c>
      <c r="B21" s="44">
        <v>700.0</v>
      </c>
      <c r="C21" s="44">
        <v>900.0</v>
      </c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>
      <c r="A22" s="50" t="s">
        <v>475</v>
      </c>
      <c r="B22" s="31">
        <f t="shared" ref="B22:C22" si="1">(B17+B19)-(B16+B18+B20)</f>
        <v>-644</v>
      </c>
      <c r="C22" s="31">
        <f t="shared" si="1"/>
        <v>-1139</v>
      </c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>
      <c r="A23" s="48" t="s">
        <v>508</v>
      </c>
      <c r="B23" s="56">
        <f t="shared" ref="B23:C23" si="2">(B17+B19)/(B16+B18+B20)</f>
        <v>0.4091743119</v>
      </c>
      <c r="C23" s="56">
        <f t="shared" si="2"/>
        <v>0.388292159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>
      <c r="A24" s="50" t="s">
        <v>476</v>
      </c>
      <c r="B24" s="45">
        <f t="shared" ref="B24:C24" si="3">B6/B5</f>
        <v>0.3</v>
      </c>
      <c r="C24" s="45">
        <f t="shared" si="3"/>
        <v>0.3333333333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>
      <c r="A25" s="50" t="s">
        <v>477</v>
      </c>
      <c r="B25" s="46">
        <f t="shared" ref="B25:C25" si="4">B7/B5</f>
        <v>0.05</v>
      </c>
      <c r="C25" s="46">
        <f t="shared" si="4"/>
        <v>0.2666666667</v>
      </c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>
      <c r="A26" s="57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>
      <c r="A27" s="57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>
      <c r="A29" s="57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>
      <c r="A30" s="57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>
      <c r="A31" s="57"/>
    </row>
    <row r="32">
      <c r="A32" s="57"/>
    </row>
    <row r="33">
      <c r="A33" s="57"/>
    </row>
    <row r="34">
      <c r="A34" s="57"/>
    </row>
    <row r="35">
      <c r="A35" s="57"/>
    </row>
    <row r="36">
      <c r="A36" s="57"/>
    </row>
    <row r="37">
      <c r="A37" s="57"/>
    </row>
    <row r="38">
      <c r="A38" s="57"/>
    </row>
    <row r="39">
      <c r="A39" s="57"/>
    </row>
    <row r="40">
      <c r="A40" s="57"/>
    </row>
    <row r="41">
      <c r="A41" s="57"/>
    </row>
    <row r="42">
      <c r="A42" s="57"/>
    </row>
    <row r="43">
      <c r="A43" s="57"/>
    </row>
    <row r="44">
      <c r="A44" s="57"/>
    </row>
    <row r="45">
      <c r="A45" s="57"/>
    </row>
    <row r="46">
      <c r="A46" s="57"/>
    </row>
    <row r="47">
      <c r="A47" s="57"/>
    </row>
    <row r="48">
      <c r="A48" s="57"/>
    </row>
    <row r="49">
      <c r="A49" s="57"/>
    </row>
    <row r="50">
      <c r="A50" s="57"/>
    </row>
    <row r="51">
      <c r="A51" s="57"/>
    </row>
    <row r="52">
      <c r="A52" s="57"/>
    </row>
    <row r="53">
      <c r="A53" s="57"/>
    </row>
    <row r="54">
      <c r="A54" s="57"/>
    </row>
    <row r="55">
      <c r="A55" s="57"/>
    </row>
    <row r="56">
      <c r="A56" s="57"/>
    </row>
    <row r="57">
      <c r="A57" s="57"/>
    </row>
    <row r="58">
      <c r="A58" s="57"/>
    </row>
    <row r="59">
      <c r="A59" s="57"/>
    </row>
    <row r="60">
      <c r="A60" s="57"/>
    </row>
    <row r="61">
      <c r="A61" s="57"/>
    </row>
    <row r="62">
      <c r="A62" s="57"/>
    </row>
    <row r="63">
      <c r="A63" s="57"/>
    </row>
    <row r="64">
      <c r="A64" s="57"/>
    </row>
    <row r="65">
      <c r="A65" s="57"/>
    </row>
    <row r="66">
      <c r="A66" s="57"/>
    </row>
    <row r="67">
      <c r="A67" s="57"/>
    </row>
    <row r="68">
      <c r="A68" s="57"/>
    </row>
    <row r="69">
      <c r="A69" s="57"/>
    </row>
    <row r="70">
      <c r="A70" s="57"/>
    </row>
    <row r="71">
      <c r="A71" s="57"/>
    </row>
    <row r="72">
      <c r="A72" s="57"/>
    </row>
    <row r="73">
      <c r="A73" s="57"/>
    </row>
    <row r="74">
      <c r="A74" s="57"/>
    </row>
    <row r="75">
      <c r="A75" s="57"/>
    </row>
    <row r="76">
      <c r="A76" s="57"/>
    </row>
    <row r="77">
      <c r="A77" s="57"/>
    </row>
    <row r="78">
      <c r="A78" s="57"/>
    </row>
    <row r="79">
      <c r="A79" s="57"/>
    </row>
    <row r="80">
      <c r="A80" s="57"/>
    </row>
    <row r="81">
      <c r="A81" s="57"/>
    </row>
    <row r="82">
      <c r="A82" s="57"/>
    </row>
    <row r="83">
      <c r="A83" s="57"/>
    </row>
    <row r="84">
      <c r="A84" s="57"/>
    </row>
    <row r="85">
      <c r="A85" s="57"/>
    </row>
    <row r="86">
      <c r="A86" s="57"/>
    </row>
    <row r="87">
      <c r="A87" s="57"/>
    </row>
    <row r="88">
      <c r="A88" s="57"/>
    </row>
    <row r="89">
      <c r="A89" s="57"/>
    </row>
    <row r="90">
      <c r="A90" s="57"/>
    </row>
    <row r="91">
      <c r="A91" s="57"/>
    </row>
    <row r="92">
      <c r="A92" s="57"/>
    </row>
    <row r="93">
      <c r="A93" s="57"/>
    </row>
    <row r="94">
      <c r="A94" s="57"/>
    </row>
    <row r="95">
      <c r="A95" s="57"/>
    </row>
    <row r="96">
      <c r="A96" s="57"/>
    </row>
    <row r="97">
      <c r="A97" s="57"/>
    </row>
    <row r="98">
      <c r="A98" s="57"/>
    </row>
    <row r="99">
      <c r="A99" s="57"/>
    </row>
    <row r="100">
      <c r="A100" s="57"/>
    </row>
    <row r="101">
      <c r="A101" s="57"/>
    </row>
    <row r="102">
      <c r="A102" s="57"/>
    </row>
    <row r="103">
      <c r="A103" s="57"/>
    </row>
    <row r="104">
      <c r="A104" s="57"/>
    </row>
    <row r="105">
      <c r="A105" s="57"/>
    </row>
    <row r="106">
      <c r="A106" s="57"/>
    </row>
    <row r="107">
      <c r="A107" s="57"/>
    </row>
    <row r="108">
      <c r="A108" s="57"/>
    </row>
    <row r="109">
      <c r="A109" s="57"/>
    </row>
    <row r="110">
      <c r="A110" s="57"/>
    </row>
    <row r="111">
      <c r="A111" s="57"/>
    </row>
    <row r="112">
      <c r="A112" s="57"/>
    </row>
    <row r="113">
      <c r="A113" s="57"/>
    </row>
    <row r="114">
      <c r="A114" s="57"/>
    </row>
    <row r="115">
      <c r="A115" s="57"/>
    </row>
    <row r="116">
      <c r="A116" s="57"/>
    </row>
    <row r="117">
      <c r="A117" s="57"/>
    </row>
    <row r="118">
      <c r="A118" s="57"/>
    </row>
    <row r="119">
      <c r="A119" s="57"/>
    </row>
    <row r="120">
      <c r="A120" s="57"/>
    </row>
    <row r="121">
      <c r="A121" s="57"/>
    </row>
    <row r="122">
      <c r="A122" s="57"/>
    </row>
    <row r="123">
      <c r="A123" s="57"/>
    </row>
    <row r="124">
      <c r="A124" s="57"/>
    </row>
    <row r="125">
      <c r="A125" s="57"/>
    </row>
    <row r="126">
      <c r="A126" s="57"/>
    </row>
    <row r="127">
      <c r="A127" s="57"/>
    </row>
    <row r="128">
      <c r="A128" s="57"/>
    </row>
    <row r="129">
      <c r="A129" s="57"/>
    </row>
    <row r="130">
      <c r="A130" s="57"/>
    </row>
    <row r="131">
      <c r="A131" s="57"/>
    </row>
    <row r="132">
      <c r="A132" s="57"/>
    </row>
    <row r="133">
      <c r="A133" s="57"/>
    </row>
    <row r="134">
      <c r="A134" s="57"/>
    </row>
    <row r="135">
      <c r="A135" s="57"/>
    </row>
    <row r="136">
      <c r="A136" s="57"/>
    </row>
    <row r="137">
      <c r="A137" s="57"/>
    </row>
    <row r="138">
      <c r="A138" s="57"/>
    </row>
    <row r="139">
      <c r="A139" s="57"/>
    </row>
    <row r="140">
      <c r="A140" s="57"/>
    </row>
    <row r="141">
      <c r="A141" s="57"/>
    </row>
    <row r="142">
      <c r="A142" s="57"/>
    </row>
    <row r="143">
      <c r="A143" s="57"/>
    </row>
    <row r="144">
      <c r="A144" s="57"/>
    </row>
    <row r="145">
      <c r="A145" s="57"/>
    </row>
    <row r="146">
      <c r="A146" s="57"/>
    </row>
    <row r="147">
      <c r="A147" s="57"/>
    </row>
    <row r="148">
      <c r="A148" s="57"/>
    </row>
    <row r="149">
      <c r="A149" s="57"/>
    </row>
    <row r="150">
      <c r="A150" s="57"/>
    </row>
    <row r="151">
      <c r="A151" s="57"/>
    </row>
    <row r="152">
      <c r="A152" s="57"/>
    </row>
    <row r="153">
      <c r="A153" s="57"/>
    </row>
    <row r="154">
      <c r="A154" s="57"/>
    </row>
    <row r="155">
      <c r="A155" s="57"/>
    </row>
    <row r="156">
      <c r="A156" s="57"/>
    </row>
    <row r="157">
      <c r="A157" s="57"/>
    </row>
    <row r="158">
      <c r="A158" s="57"/>
    </row>
    <row r="159">
      <c r="A159" s="57"/>
    </row>
    <row r="160">
      <c r="A160" s="57"/>
    </row>
    <row r="161">
      <c r="A161" s="57"/>
    </row>
    <row r="162">
      <c r="A162" s="57"/>
    </row>
    <row r="163">
      <c r="A163" s="57"/>
    </row>
    <row r="164">
      <c r="A164" s="57"/>
    </row>
    <row r="165">
      <c r="A165" s="57"/>
    </row>
    <row r="166">
      <c r="A166" s="57"/>
    </row>
    <row r="167">
      <c r="A167" s="57"/>
    </row>
    <row r="168">
      <c r="A168" s="57"/>
    </row>
    <row r="169">
      <c r="A169" s="57"/>
    </row>
    <row r="170">
      <c r="A170" s="57"/>
    </row>
    <row r="171">
      <c r="A171" s="57"/>
    </row>
    <row r="172">
      <c r="A172" s="57"/>
    </row>
    <row r="173">
      <c r="A173" s="57"/>
    </row>
    <row r="174">
      <c r="A174" s="57"/>
    </row>
    <row r="175">
      <c r="A175" s="57"/>
    </row>
    <row r="176">
      <c r="A176" s="57"/>
    </row>
    <row r="177">
      <c r="A177" s="57"/>
    </row>
    <row r="178">
      <c r="A178" s="57"/>
    </row>
    <row r="179">
      <c r="A179" s="57"/>
    </row>
    <row r="180">
      <c r="A180" s="57"/>
    </row>
    <row r="181">
      <c r="A181" s="57"/>
    </row>
    <row r="182">
      <c r="A182" s="57"/>
    </row>
    <row r="183">
      <c r="A183" s="57"/>
    </row>
    <row r="184">
      <c r="A184" s="57"/>
    </row>
    <row r="185">
      <c r="A185" s="57"/>
    </row>
    <row r="186">
      <c r="A186" s="57"/>
    </row>
    <row r="187">
      <c r="A187" s="57"/>
    </row>
    <row r="188">
      <c r="A188" s="57"/>
    </row>
    <row r="189">
      <c r="A189" s="57"/>
    </row>
    <row r="190">
      <c r="A190" s="57"/>
    </row>
    <row r="191">
      <c r="A191" s="57"/>
    </row>
    <row r="192">
      <c r="A192" s="57"/>
    </row>
    <row r="193">
      <c r="A193" s="57"/>
    </row>
    <row r="194">
      <c r="A194" s="57"/>
    </row>
    <row r="195">
      <c r="A195" s="57"/>
    </row>
    <row r="196">
      <c r="A196" s="57"/>
    </row>
    <row r="197">
      <c r="A197" s="57"/>
    </row>
    <row r="198">
      <c r="A198" s="57"/>
    </row>
    <row r="199">
      <c r="A199" s="57"/>
    </row>
    <row r="200">
      <c r="A200" s="57"/>
    </row>
    <row r="201">
      <c r="A201" s="57"/>
    </row>
    <row r="202">
      <c r="A202" s="57"/>
    </row>
    <row r="203">
      <c r="A203" s="57"/>
    </row>
    <row r="204">
      <c r="A204" s="57"/>
    </row>
    <row r="205">
      <c r="A205" s="57"/>
    </row>
    <row r="206">
      <c r="A206" s="57"/>
    </row>
    <row r="207">
      <c r="A207" s="57"/>
    </row>
    <row r="208">
      <c r="A208" s="57"/>
    </row>
    <row r="209">
      <c r="A209" s="57"/>
    </row>
    <row r="210">
      <c r="A210" s="57"/>
    </row>
    <row r="211">
      <c r="A211" s="57"/>
    </row>
    <row r="212">
      <c r="A212" s="57"/>
    </row>
    <row r="213">
      <c r="A213" s="57"/>
    </row>
    <row r="214">
      <c r="A214" s="57"/>
    </row>
    <row r="215">
      <c r="A215" s="57"/>
    </row>
    <row r="216">
      <c r="A216" s="57"/>
    </row>
    <row r="217">
      <c r="A217" s="57"/>
    </row>
    <row r="218">
      <c r="A218" s="57"/>
    </row>
    <row r="219">
      <c r="A219" s="57"/>
    </row>
    <row r="220">
      <c r="A220" s="57"/>
    </row>
    <row r="221">
      <c r="A221" s="57"/>
    </row>
    <row r="222">
      <c r="A222" s="57"/>
    </row>
    <row r="223">
      <c r="A223" s="57"/>
    </row>
    <row r="224">
      <c r="A224" s="57"/>
    </row>
    <row r="225">
      <c r="A225" s="57"/>
    </row>
    <row r="226">
      <c r="A226" s="57"/>
    </row>
    <row r="227">
      <c r="A227" s="57"/>
    </row>
    <row r="228">
      <c r="A228" s="57"/>
    </row>
    <row r="229">
      <c r="A229" s="57"/>
    </row>
    <row r="230">
      <c r="A230" s="57"/>
    </row>
    <row r="231">
      <c r="A231" s="57"/>
    </row>
    <row r="232">
      <c r="A232" s="57"/>
    </row>
    <row r="233">
      <c r="A233" s="57"/>
    </row>
    <row r="234">
      <c r="A234" s="57"/>
    </row>
    <row r="235">
      <c r="A235" s="57"/>
    </row>
    <row r="236">
      <c r="A236" s="57"/>
    </row>
    <row r="237">
      <c r="A237" s="57"/>
    </row>
    <row r="238">
      <c r="A238" s="57"/>
    </row>
    <row r="239">
      <c r="A239" s="57"/>
    </row>
    <row r="240">
      <c r="A240" s="57"/>
    </row>
    <row r="241">
      <c r="A241" s="57"/>
    </row>
    <row r="242">
      <c r="A242" s="57"/>
    </row>
    <row r="243">
      <c r="A243" s="57"/>
    </row>
    <row r="244">
      <c r="A244" s="57"/>
    </row>
    <row r="245">
      <c r="A245" s="57"/>
    </row>
    <row r="246">
      <c r="A246" s="57"/>
    </row>
    <row r="247">
      <c r="A247" s="57"/>
    </row>
    <row r="248">
      <c r="A248" s="57"/>
    </row>
    <row r="249">
      <c r="A249" s="57"/>
    </row>
    <row r="250">
      <c r="A250" s="57"/>
    </row>
    <row r="251">
      <c r="A251" s="57"/>
    </row>
    <row r="252">
      <c r="A252" s="57"/>
    </row>
    <row r="253">
      <c r="A253" s="57"/>
    </row>
    <row r="254">
      <c r="A254" s="57"/>
    </row>
    <row r="255">
      <c r="A255" s="57"/>
    </row>
    <row r="256">
      <c r="A256" s="57"/>
    </row>
    <row r="257">
      <c r="A257" s="57"/>
    </row>
    <row r="258">
      <c r="A258" s="57"/>
    </row>
    <row r="259">
      <c r="A259" s="57"/>
    </row>
    <row r="260">
      <c r="A260" s="57"/>
    </row>
    <row r="261">
      <c r="A261" s="57"/>
    </row>
    <row r="262">
      <c r="A262" s="57"/>
    </row>
    <row r="263">
      <c r="A263" s="57"/>
    </row>
    <row r="264">
      <c r="A264" s="57"/>
    </row>
    <row r="265">
      <c r="A265" s="57"/>
    </row>
    <row r="266">
      <c r="A266" s="57"/>
    </row>
    <row r="267">
      <c r="A267" s="57"/>
    </row>
    <row r="268">
      <c r="A268" s="57"/>
    </row>
    <row r="269">
      <c r="A269" s="57"/>
    </row>
    <row r="270">
      <c r="A270" s="57"/>
    </row>
    <row r="271">
      <c r="A271" s="57"/>
    </row>
    <row r="272">
      <c r="A272" s="57"/>
    </row>
    <row r="273">
      <c r="A273" s="57"/>
    </row>
    <row r="274">
      <c r="A274" s="57"/>
    </row>
    <row r="275">
      <c r="A275" s="57"/>
    </row>
    <row r="276">
      <c r="A276" s="57"/>
    </row>
    <row r="277">
      <c r="A277" s="57"/>
    </row>
    <row r="278">
      <c r="A278" s="57"/>
    </row>
    <row r="279">
      <c r="A279" s="57"/>
    </row>
    <row r="280">
      <c r="A280" s="57"/>
    </row>
    <row r="281">
      <c r="A281" s="57"/>
    </row>
    <row r="282">
      <c r="A282" s="57"/>
    </row>
    <row r="283">
      <c r="A283" s="57"/>
    </row>
    <row r="284">
      <c r="A284" s="57"/>
    </row>
    <row r="285">
      <c r="A285" s="57"/>
    </row>
    <row r="286">
      <c r="A286" s="57"/>
    </row>
    <row r="287">
      <c r="A287" s="57"/>
    </row>
    <row r="288">
      <c r="A288" s="57"/>
    </row>
    <row r="289">
      <c r="A289" s="57"/>
    </row>
    <row r="290">
      <c r="A290" s="57"/>
    </row>
    <row r="291">
      <c r="A291" s="57"/>
    </row>
    <row r="292">
      <c r="A292" s="57"/>
    </row>
    <row r="293">
      <c r="A293" s="57"/>
    </row>
    <row r="294">
      <c r="A294" s="57"/>
    </row>
    <row r="295">
      <c r="A295" s="57"/>
    </row>
    <row r="296">
      <c r="A296" s="57"/>
    </row>
    <row r="297">
      <c r="A297" s="57"/>
    </row>
    <row r="298">
      <c r="A298" s="57"/>
    </row>
    <row r="299">
      <c r="A299" s="57"/>
    </row>
    <row r="300">
      <c r="A300" s="57"/>
    </row>
    <row r="301">
      <c r="A301" s="57"/>
    </row>
    <row r="302">
      <c r="A302" s="57"/>
    </row>
    <row r="303">
      <c r="A303" s="57"/>
    </row>
    <row r="304">
      <c r="A304" s="57"/>
    </row>
    <row r="305">
      <c r="A305" s="57"/>
    </row>
    <row r="306">
      <c r="A306" s="57"/>
    </row>
    <row r="307">
      <c r="A307" s="57"/>
    </row>
    <row r="308">
      <c r="A308" s="57"/>
    </row>
    <row r="309">
      <c r="A309" s="57"/>
    </row>
    <row r="310">
      <c r="A310" s="57"/>
    </row>
    <row r="311">
      <c r="A311" s="57"/>
    </row>
    <row r="312">
      <c r="A312" s="57"/>
    </row>
    <row r="313">
      <c r="A313" s="57"/>
    </row>
    <row r="314">
      <c r="A314" s="57"/>
    </row>
    <row r="315">
      <c r="A315" s="57"/>
    </row>
    <row r="316">
      <c r="A316" s="57"/>
    </row>
    <row r="317">
      <c r="A317" s="57"/>
    </row>
    <row r="318">
      <c r="A318" s="57"/>
    </row>
    <row r="319">
      <c r="A319" s="57"/>
    </row>
    <row r="320">
      <c r="A320" s="57"/>
    </row>
    <row r="321">
      <c r="A321" s="57"/>
    </row>
    <row r="322">
      <c r="A322" s="57"/>
    </row>
    <row r="323">
      <c r="A323" s="57"/>
    </row>
    <row r="324">
      <c r="A324" s="57"/>
    </row>
    <row r="325">
      <c r="A325" s="57"/>
    </row>
    <row r="326">
      <c r="A326" s="57"/>
    </row>
    <row r="327">
      <c r="A327" s="57"/>
    </row>
    <row r="328">
      <c r="A328" s="57"/>
    </row>
    <row r="329">
      <c r="A329" s="57"/>
    </row>
    <row r="330">
      <c r="A330" s="57"/>
    </row>
    <row r="331">
      <c r="A331" s="57"/>
    </row>
    <row r="332">
      <c r="A332" s="57"/>
    </row>
    <row r="333">
      <c r="A333" s="57"/>
    </row>
    <row r="334">
      <c r="A334" s="57"/>
    </row>
    <row r="335">
      <c r="A335" s="57"/>
    </row>
    <row r="336">
      <c r="A336" s="57"/>
    </row>
    <row r="337">
      <c r="A337" s="57"/>
    </row>
    <row r="338">
      <c r="A338" s="57"/>
    </row>
    <row r="339">
      <c r="A339" s="57"/>
    </row>
    <row r="340">
      <c r="A340" s="57"/>
    </row>
    <row r="341">
      <c r="A341" s="57"/>
    </row>
    <row r="342">
      <c r="A342" s="57"/>
    </row>
    <row r="343">
      <c r="A343" s="57"/>
    </row>
    <row r="344">
      <c r="A344" s="57"/>
    </row>
    <row r="345">
      <c r="A345" s="57"/>
    </row>
    <row r="346">
      <c r="A346" s="57"/>
    </row>
    <row r="347">
      <c r="A347" s="57"/>
    </row>
    <row r="348">
      <c r="A348" s="57"/>
    </row>
    <row r="349">
      <c r="A349" s="57"/>
    </row>
    <row r="350">
      <c r="A350" s="57"/>
    </row>
    <row r="351">
      <c r="A351" s="57"/>
    </row>
    <row r="352">
      <c r="A352" s="57"/>
    </row>
    <row r="353">
      <c r="A353" s="57"/>
    </row>
    <row r="354">
      <c r="A354" s="57"/>
    </row>
    <row r="355">
      <c r="A355" s="57"/>
    </row>
    <row r="356">
      <c r="A356" s="57"/>
    </row>
    <row r="357">
      <c r="A357" s="57"/>
    </row>
    <row r="358">
      <c r="A358" s="57"/>
    </row>
    <row r="359">
      <c r="A359" s="57"/>
    </row>
    <row r="360">
      <c r="A360" s="57"/>
    </row>
    <row r="361">
      <c r="A361" s="57"/>
    </row>
    <row r="362">
      <c r="A362" s="57"/>
    </row>
    <row r="363">
      <c r="A363" s="57"/>
    </row>
    <row r="364">
      <c r="A364" s="57"/>
    </row>
    <row r="365">
      <c r="A365" s="57"/>
    </row>
    <row r="366">
      <c r="A366" s="57"/>
    </row>
    <row r="367">
      <c r="A367" s="57"/>
    </row>
    <row r="368">
      <c r="A368" s="57"/>
    </row>
    <row r="369">
      <c r="A369" s="57"/>
    </row>
    <row r="370">
      <c r="A370" s="57"/>
    </row>
    <row r="371">
      <c r="A371" s="57"/>
    </row>
    <row r="372">
      <c r="A372" s="57"/>
    </row>
    <row r="373">
      <c r="A373" s="57"/>
    </row>
    <row r="374">
      <c r="A374" s="57"/>
    </row>
    <row r="375">
      <c r="A375" s="57"/>
    </row>
    <row r="376">
      <c r="A376" s="57"/>
    </row>
    <row r="377">
      <c r="A377" s="57"/>
    </row>
    <row r="378">
      <c r="A378" s="57"/>
    </row>
    <row r="379">
      <c r="A379" s="57"/>
    </row>
    <row r="380">
      <c r="A380" s="57"/>
    </row>
    <row r="381">
      <c r="A381" s="57"/>
    </row>
    <row r="382">
      <c r="A382" s="57"/>
    </row>
    <row r="383">
      <c r="A383" s="57"/>
    </row>
    <row r="384">
      <c r="A384" s="57"/>
    </row>
    <row r="385">
      <c r="A385" s="57"/>
    </row>
    <row r="386">
      <c r="A386" s="57"/>
    </row>
    <row r="387">
      <c r="A387" s="57"/>
    </row>
    <row r="388">
      <c r="A388" s="57"/>
    </row>
    <row r="389">
      <c r="A389" s="57"/>
    </row>
    <row r="390">
      <c r="A390" s="57"/>
    </row>
    <row r="391">
      <c r="A391" s="57"/>
    </row>
    <row r="392">
      <c r="A392" s="57"/>
    </row>
    <row r="393">
      <c r="A393" s="57"/>
    </row>
    <row r="394">
      <c r="A394" s="57"/>
    </row>
    <row r="395">
      <c r="A395" s="57"/>
    </row>
    <row r="396">
      <c r="A396" s="57"/>
    </row>
    <row r="397">
      <c r="A397" s="57"/>
    </row>
    <row r="398">
      <c r="A398" s="57"/>
    </row>
    <row r="399">
      <c r="A399" s="57"/>
    </row>
    <row r="400">
      <c r="A400" s="57"/>
    </row>
    <row r="401">
      <c r="A401" s="57"/>
    </row>
    <row r="402">
      <c r="A402" s="57"/>
    </row>
    <row r="403">
      <c r="A403" s="57"/>
    </row>
    <row r="404">
      <c r="A404" s="57"/>
    </row>
    <row r="405">
      <c r="A405" s="57"/>
    </row>
    <row r="406">
      <c r="A406" s="57"/>
    </row>
    <row r="407">
      <c r="A407" s="57"/>
    </row>
    <row r="408">
      <c r="A408" s="57"/>
    </row>
    <row r="409">
      <c r="A409" s="57"/>
    </row>
    <row r="410">
      <c r="A410" s="57"/>
    </row>
    <row r="411">
      <c r="A411" s="57"/>
    </row>
    <row r="412">
      <c r="A412" s="57"/>
    </row>
    <row r="413">
      <c r="A413" s="57"/>
    </row>
    <row r="414">
      <c r="A414" s="57"/>
    </row>
    <row r="415">
      <c r="A415" s="57"/>
    </row>
    <row r="416">
      <c r="A416" s="57"/>
    </row>
    <row r="417">
      <c r="A417" s="57"/>
    </row>
    <row r="418">
      <c r="A418" s="57"/>
    </row>
    <row r="419">
      <c r="A419" s="57"/>
    </row>
    <row r="420">
      <c r="A420" s="57"/>
    </row>
    <row r="421">
      <c r="A421" s="57"/>
    </row>
    <row r="422">
      <c r="A422" s="57"/>
    </row>
    <row r="423">
      <c r="A423" s="57"/>
    </row>
    <row r="424">
      <c r="A424" s="57"/>
    </row>
    <row r="425">
      <c r="A425" s="57"/>
    </row>
    <row r="426">
      <c r="A426" s="57"/>
    </row>
    <row r="427">
      <c r="A427" s="57"/>
    </row>
    <row r="428">
      <c r="A428" s="57"/>
    </row>
    <row r="429">
      <c r="A429" s="57"/>
    </row>
    <row r="430">
      <c r="A430" s="57"/>
    </row>
    <row r="431">
      <c r="A431" s="57"/>
    </row>
    <row r="432">
      <c r="A432" s="57"/>
    </row>
    <row r="433">
      <c r="A433" s="57"/>
    </row>
    <row r="434">
      <c r="A434" s="57"/>
    </row>
    <row r="435">
      <c r="A435" s="57"/>
    </row>
    <row r="436">
      <c r="A436" s="57"/>
    </row>
    <row r="437">
      <c r="A437" s="57"/>
    </row>
    <row r="438">
      <c r="A438" s="57"/>
    </row>
    <row r="439">
      <c r="A439" s="57"/>
    </row>
    <row r="440">
      <c r="A440" s="57"/>
    </row>
    <row r="441">
      <c r="A441" s="57"/>
    </row>
    <row r="442">
      <c r="A442" s="57"/>
    </row>
    <row r="443">
      <c r="A443" s="57"/>
    </row>
    <row r="444">
      <c r="A444" s="57"/>
    </row>
    <row r="445">
      <c r="A445" s="57"/>
    </row>
    <row r="446">
      <c r="A446" s="57"/>
    </row>
    <row r="447">
      <c r="A447" s="57"/>
    </row>
    <row r="448">
      <c r="A448" s="57"/>
    </row>
    <row r="449">
      <c r="A449" s="57"/>
    </row>
    <row r="450">
      <c r="A450" s="57"/>
    </row>
    <row r="451">
      <c r="A451" s="57"/>
    </row>
    <row r="452">
      <c r="A452" s="57"/>
    </row>
    <row r="453">
      <c r="A453" s="57"/>
    </row>
    <row r="454">
      <c r="A454" s="57"/>
    </row>
    <row r="455">
      <c r="A455" s="57"/>
    </row>
    <row r="456">
      <c r="A456" s="57"/>
    </row>
    <row r="457">
      <c r="A457" s="57"/>
    </row>
    <row r="458">
      <c r="A458" s="57"/>
    </row>
    <row r="459">
      <c r="A459" s="57"/>
    </row>
    <row r="460">
      <c r="A460" s="57"/>
    </row>
    <row r="461">
      <c r="A461" s="57"/>
    </row>
    <row r="462">
      <c r="A462" s="57"/>
    </row>
    <row r="463">
      <c r="A463" s="57"/>
    </row>
    <row r="464">
      <c r="A464" s="57"/>
    </row>
    <row r="465">
      <c r="A465" s="57"/>
    </row>
    <row r="466">
      <c r="A466" s="57"/>
    </row>
    <row r="467">
      <c r="A467" s="57"/>
    </row>
    <row r="468">
      <c r="A468" s="57"/>
    </row>
    <row r="469">
      <c r="A469" s="57"/>
    </row>
    <row r="470">
      <c r="A470" s="57"/>
    </row>
    <row r="471">
      <c r="A471" s="57"/>
    </row>
    <row r="472">
      <c r="A472" s="57"/>
    </row>
    <row r="473">
      <c r="A473" s="57"/>
    </row>
    <row r="474">
      <c r="A474" s="57"/>
    </row>
    <row r="475">
      <c r="A475" s="57"/>
    </row>
    <row r="476">
      <c r="A476" s="57"/>
    </row>
    <row r="477">
      <c r="A477" s="57"/>
    </row>
    <row r="478">
      <c r="A478" s="57"/>
    </row>
    <row r="479">
      <c r="A479" s="57"/>
    </row>
    <row r="480">
      <c r="A480" s="57"/>
    </row>
    <row r="481">
      <c r="A481" s="57"/>
    </row>
    <row r="482">
      <c r="A482" s="57"/>
    </row>
    <row r="483">
      <c r="A483" s="57"/>
    </row>
    <row r="484">
      <c r="A484" s="57"/>
    </row>
    <row r="485">
      <c r="A485" s="57"/>
    </row>
    <row r="486">
      <c r="A486" s="57"/>
    </row>
    <row r="487">
      <c r="A487" s="57"/>
    </row>
    <row r="488">
      <c r="A488" s="57"/>
    </row>
    <row r="489">
      <c r="A489" s="57"/>
    </row>
    <row r="490">
      <c r="A490" s="57"/>
    </row>
    <row r="491">
      <c r="A491" s="57"/>
    </row>
    <row r="492">
      <c r="A492" s="57"/>
    </row>
    <row r="493">
      <c r="A493" s="57"/>
    </row>
    <row r="494">
      <c r="A494" s="57"/>
    </row>
    <row r="495">
      <c r="A495" s="57"/>
    </row>
    <row r="496">
      <c r="A496" s="57"/>
    </row>
    <row r="497">
      <c r="A497" s="57"/>
    </row>
    <row r="498">
      <c r="A498" s="57"/>
    </row>
    <row r="499">
      <c r="A499" s="57"/>
    </row>
    <row r="500">
      <c r="A500" s="57"/>
    </row>
    <row r="501">
      <c r="A501" s="57"/>
    </row>
    <row r="502">
      <c r="A502" s="57"/>
    </row>
    <row r="503">
      <c r="A503" s="57"/>
    </row>
    <row r="504">
      <c r="A504" s="57"/>
    </row>
    <row r="505">
      <c r="A505" s="57"/>
    </row>
    <row r="506">
      <c r="A506" s="57"/>
    </row>
    <row r="507">
      <c r="A507" s="57"/>
    </row>
    <row r="508">
      <c r="A508" s="57"/>
    </row>
    <row r="509">
      <c r="A509" s="57"/>
    </row>
    <row r="510">
      <c r="A510" s="57"/>
    </row>
    <row r="511">
      <c r="A511" s="57"/>
    </row>
    <row r="512">
      <c r="A512" s="57"/>
    </row>
    <row r="513">
      <c r="A513" s="57"/>
    </row>
    <row r="514">
      <c r="A514" s="57"/>
    </row>
    <row r="515">
      <c r="A515" s="57"/>
    </row>
    <row r="516">
      <c r="A516" s="57"/>
    </row>
    <row r="517">
      <c r="A517" s="57"/>
    </row>
    <row r="518">
      <c r="A518" s="57"/>
    </row>
    <row r="519">
      <c r="A519" s="57"/>
    </row>
    <row r="520">
      <c r="A520" s="57"/>
    </row>
    <row r="521">
      <c r="A521" s="57"/>
    </row>
    <row r="522">
      <c r="A522" s="57"/>
    </row>
    <row r="523">
      <c r="A523" s="57"/>
    </row>
    <row r="524">
      <c r="A524" s="57"/>
    </row>
    <row r="525">
      <c r="A525" s="57"/>
    </row>
    <row r="526">
      <c r="A526" s="57"/>
    </row>
    <row r="527">
      <c r="A527" s="57"/>
    </row>
    <row r="528">
      <c r="A528" s="57"/>
    </row>
    <row r="529">
      <c r="A529" s="57"/>
    </row>
    <row r="530">
      <c r="A530" s="57"/>
    </row>
    <row r="531">
      <c r="A531" s="57"/>
    </row>
    <row r="532">
      <c r="A532" s="57"/>
    </row>
    <row r="533">
      <c r="A533" s="57"/>
    </row>
    <row r="534">
      <c r="A534" s="57"/>
    </row>
    <row r="535">
      <c r="A535" s="57"/>
    </row>
    <row r="536">
      <c r="A536" s="57"/>
    </row>
    <row r="537">
      <c r="A537" s="57"/>
    </row>
    <row r="538">
      <c r="A538" s="57"/>
    </row>
    <row r="539">
      <c r="A539" s="57"/>
    </row>
    <row r="540">
      <c r="A540" s="57"/>
    </row>
    <row r="541">
      <c r="A541" s="57"/>
    </row>
    <row r="542">
      <c r="A542" s="57"/>
    </row>
    <row r="543">
      <c r="A543" s="57"/>
    </row>
    <row r="544">
      <c r="A544" s="57"/>
    </row>
    <row r="545">
      <c r="A545" s="57"/>
    </row>
    <row r="546">
      <c r="A546" s="57"/>
    </row>
    <row r="547">
      <c r="A547" s="57"/>
    </row>
    <row r="548">
      <c r="A548" s="57"/>
    </row>
    <row r="549">
      <c r="A549" s="57"/>
    </row>
    <row r="550">
      <c r="A550" s="57"/>
    </row>
    <row r="551">
      <c r="A551" s="57"/>
    </row>
    <row r="552">
      <c r="A552" s="57"/>
    </row>
    <row r="553">
      <c r="A553" s="57"/>
    </row>
    <row r="554">
      <c r="A554" s="57"/>
    </row>
    <row r="555">
      <c r="A555" s="57"/>
    </row>
    <row r="556">
      <c r="A556" s="57"/>
    </row>
    <row r="557">
      <c r="A557" s="57"/>
    </row>
    <row r="558">
      <c r="A558" s="57"/>
    </row>
    <row r="559">
      <c r="A559" s="57"/>
    </row>
    <row r="560">
      <c r="A560" s="57"/>
    </row>
    <row r="561">
      <c r="A561" s="57"/>
    </row>
    <row r="562">
      <c r="A562" s="57"/>
    </row>
    <row r="563">
      <c r="A563" s="57"/>
    </row>
    <row r="564">
      <c r="A564" s="57"/>
    </row>
    <row r="565">
      <c r="A565" s="57"/>
    </row>
    <row r="566">
      <c r="A566" s="57"/>
    </row>
    <row r="567">
      <c r="A567" s="57"/>
    </row>
    <row r="568">
      <c r="A568" s="57"/>
    </row>
    <row r="569">
      <c r="A569" s="57"/>
    </row>
    <row r="570">
      <c r="A570" s="57"/>
    </row>
    <row r="571">
      <c r="A571" s="57"/>
    </row>
    <row r="572">
      <c r="A572" s="57"/>
    </row>
    <row r="573">
      <c r="A573" s="57"/>
    </row>
    <row r="574">
      <c r="A574" s="57"/>
    </row>
    <row r="575">
      <c r="A575" s="57"/>
    </row>
    <row r="576">
      <c r="A576" s="57"/>
    </row>
    <row r="577">
      <c r="A577" s="57"/>
    </row>
    <row r="578">
      <c r="A578" s="57"/>
    </row>
    <row r="579">
      <c r="A579" s="57"/>
    </row>
    <row r="580">
      <c r="A580" s="57"/>
    </row>
    <row r="581">
      <c r="A581" s="57"/>
    </row>
    <row r="582">
      <c r="A582" s="57"/>
    </row>
    <row r="583">
      <c r="A583" s="57"/>
    </row>
    <row r="584">
      <c r="A584" s="57"/>
    </row>
    <row r="585">
      <c r="A585" s="57"/>
    </row>
    <row r="586">
      <c r="A586" s="57"/>
    </row>
    <row r="587">
      <c r="A587" s="57"/>
    </row>
    <row r="588">
      <c r="A588" s="57"/>
    </row>
    <row r="589">
      <c r="A589" s="57"/>
    </row>
    <row r="590">
      <c r="A590" s="57"/>
    </row>
    <row r="591">
      <c r="A591" s="57"/>
    </row>
    <row r="592">
      <c r="A592" s="57"/>
    </row>
    <row r="593">
      <c r="A593" s="57"/>
    </row>
    <row r="594">
      <c r="A594" s="57"/>
    </row>
    <row r="595">
      <c r="A595" s="57"/>
    </row>
    <row r="596">
      <c r="A596" s="57"/>
    </row>
    <row r="597">
      <c r="A597" s="57"/>
    </row>
    <row r="598">
      <c r="A598" s="57"/>
    </row>
    <row r="599">
      <c r="A599" s="57"/>
    </row>
    <row r="600">
      <c r="A600" s="57"/>
    </row>
    <row r="601">
      <c r="A601" s="57"/>
    </row>
    <row r="602">
      <c r="A602" s="57"/>
    </row>
    <row r="603">
      <c r="A603" s="57"/>
    </row>
    <row r="604">
      <c r="A604" s="57"/>
    </row>
    <row r="605">
      <c r="A605" s="57"/>
    </row>
    <row r="606">
      <c r="A606" s="57"/>
    </row>
    <row r="607">
      <c r="A607" s="57"/>
    </row>
    <row r="608">
      <c r="A608" s="57"/>
    </row>
    <row r="609">
      <c r="A609" s="57"/>
    </row>
    <row r="610">
      <c r="A610" s="57"/>
    </row>
    <row r="611">
      <c r="A611" s="57"/>
    </row>
    <row r="612">
      <c r="A612" s="57"/>
    </row>
    <row r="613">
      <c r="A613" s="57"/>
    </row>
    <row r="614">
      <c r="A614" s="57"/>
    </row>
    <row r="615">
      <c r="A615" s="57"/>
    </row>
    <row r="616">
      <c r="A616" s="57"/>
    </row>
    <row r="617">
      <c r="A617" s="57"/>
    </row>
    <row r="618">
      <c r="A618" s="57"/>
    </row>
    <row r="619">
      <c r="A619" s="57"/>
    </row>
    <row r="620">
      <c r="A620" s="57"/>
    </row>
    <row r="621">
      <c r="A621" s="57"/>
    </row>
    <row r="622">
      <c r="A622" s="57"/>
    </row>
    <row r="623">
      <c r="A623" s="57"/>
    </row>
    <row r="624">
      <c r="A624" s="57"/>
    </row>
    <row r="625">
      <c r="A625" s="57"/>
    </row>
    <row r="626">
      <c r="A626" s="57"/>
    </row>
    <row r="627">
      <c r="A627" s="57"/>
    </row>
    <row r="628">
      <c r="A628" s="57"/>
    </row>
    <row r="629">
      <c r="A629" s="57"/>
    </row>
    <row r="630">
      <c r="A630" s="57"/>
    </row>
    <row r="631">
      <c r="A631" s="57"/>
    </row>
    <row r="632">
      <c r="A632" s="57"/>
    </row>
    <row r="633">
      <c r="A633" s="57"/>
    </row>
    <row r="634">
      <c r="A634" s="57"/>
    </row>
    <row r="635">
      <c r="A635" s="57"/>
    </row>
    <row r="636">
      <c r="A636" s="57"/>
    </row>
    <row r="637">
      <c r="A637" s="57"/>
    </row>
    <row r="638">
      <c r="A638" s="57"/>
    </row>
    <row r="639">
      <c r="A639" s="57"/>
    </row>
    <row r="640">
      <c r="A640" s="57"/>
    </row>
    <row r="641">
      <c r="A641" s="57"/>
    </row>
    <row r="642">
      <c r="A642" s="57"/>
    </row>
    <row r="643">
      <c r="A643" s="57"/>
    </row>
    <row r="644">
      <c r="A644" s="57"/>
    </row>
    <row r="645">
      <c r="A645" s="57"/>
    </row>
    <row r="646">
      <c r="A646" s="57"/>
    </row>
    <row r="647">
      <c r="A647" s="57"/>
    </row>
    <row r="648">
      <c r="A648" s="57"/>
    </row>
    <row r="649">
      <c r="A649" s="57"/>
    </row>
    <row r="650">
      <c r="A650" s="57"/>
    </row>
    <row r="651">
      <c r="A651" s="57"/>
    </row>
    <row r="652">
      <c r="A652" s="57"/>
    </row>
    <row r="653">
      <c r="A653" s="57"/>
    </row>
    <row r="654">
      <c r="A654" s="57"/>
    </row>
    <row r="655">
      <c r="A655" s="57"/>
    </row>
    <row r="656">
      <c r="A656" s="57"/>
    </row>
    <row r="657">
      <c r="A657" s="57"/>
    </row>
    <row r="658">
      <c r="A658" s="57"/>
    </row>
    <row r="659">
      <c r="A659" s="57"/>
    </row>
    <row r="660">
      <c r="A660" s="57"/>
    </row>
    <row r="661">
      <c r="A661" s="57"/>
    </row>
    <row r="662">
      <c r="A662" s="57"/>
    </row>
    <row r="663">
      <c r="A663" s="57"/>
    </row>
    <row r="664">
      <c r="A664" s="57"/>
    </row>
    <row r="665">
      <c r="A665" s="57"/>
    </row>
    <row r="666">
      <c r="A666" s="57"/>
    </row>
    <row r="667">
      <c r="A667" s="57"/>
    </row>
    <row r="668">
      <c r="A668" s="57"/>
    </row>
    <row r="669">
      <c r="A669" s="57"/>
    </row>
    <row r="670">
      <c r="A670" s="57"/>
    </row>
    <row r="671">
      <c r="A671" s="57"/>
    </row>
    <row r="672">
      <c r="A672" s="57"/>
    </row>
    <row r="673">
      <c r="A673" s="57"/>
    </row>
    <row r="674">
      <c r="A674" s="57"/>
    </row>
    <row r="675">
      <c r="A675" s="57"/>
    </row>
    <row r="676">
      <c r="A676" s="57"/>
    </row>
    <row r="677">
      <c r="A677" s="57"/>
    </row>
    <row r="678">
      <c r="A678" s="57"/>
    </row>
    <row r="679">
      <c r="A679" s="57"/>
    </row>
    <row r="680">
      <c r="A680" s="57"/>
    </row>
    <row r="681">
      <c r="A681" s="57"/>
    </row>
    <row r="682">
      <c r="A682" s="57"/>
    </row>
    <row r="683">
      <c r="A683" s="57"/>
    </row>
    <row r="684">
      <c r="A684" s="57"/>
    </row>
    <row r="685">
      <c r="A685" s="57"/>
    </row>
    <row r="686">
      <c r="A686" s="57"/>
    </row>
    <row r="687">
      <c r="A687" s="57"/>
    </row>
    <row r="688">
      <c r="A688" s="57"/>
    </row>
    <row r="689">
      <c r="A689" s="57"/>
    </row>
    <row r="690">
      <c r="A690" s="57"/>
    </row>
    <row r="691">
      <c r="A691" s="57"/>
    </row>
    <row r="692">
      <c r="A692" s="57"/>
    </row>
    <row r="693">
      <c r="A693" s="57"/>
    </row>
    <row r="694">
      <c r="A694" s="57"/>
    </row>
    <row r="695">
      <c r="A695" s="57"/>
    </row>
    <row r="696">
      <c r="A696" s="57"/>
    </row>
    <row r="697">
      <c r="A697" s="57"/>
    </row>
    <row r="698">
      <c r="A698" s="57"/>
    </row>
    <row r="699">
      <c r="A699" s="57"/>
    </row>
    <row r="700">
      <c r="A700" s="57"/>
    </row>
    <row r="701">
      <c r="A701" s="57"/>
    </row>
    <row r="702">
      <c r="A702" s="57"/>
    </row>
    <row r="703">
      <c r="A703" s="57"/>
    </row>
    <row r="704">
      <c r="A704" s="57"/>
    </row>
    <row r="705">
      <c r="A705" s="57"/>
    </row>
    <row r="706">
      <c r="A706" s="57"/>
    </row>
    <row r="707">
      <c r="A707" s="57"/>
    </row>
    <row r="708">
      <c r="A708" s="57"/>
    </row>
    <row r="709">
      <c r="A709" s="57"/>
    </row>
    <row r="710">
      <c r="A710" s="57"/>
    </row>
    <row r="711">
      <c r="A711" s="57"/>
    </row>
    <row r="712">
      <c r="A712" s="57"/>
    </row>
    <row r="713">
      <c r="A713" s="57"/>
    </row>
    <row r="714">
      <c r="A714" s="57"/>
    </row>
    <row r="715">
      <c r="A715" s="57"/>
    </row>
    <row r="716">
      <c r="A716" s="57"/>
    </row>
    <row r="717">
      <c r="A717" s="57"/>
    </row>
    <row r="718">
      <c r="A718" s="57"/>
    </row>
    <row r="719">
      <c r="A719" s="57"/>
    </row>
    <row r="720">
      <c r="A720" s="57"/>
    </row>
    <row r="721">
      <c r="A721" s="57"/>
    </row>
    <row r="722">
      <c r="A722" s="57"/>
    </row>
    <row r="723">
      <c r="A723" s="57"/>
    </row>
    <row r="724">
      <c r="A724" s="57"/>
    </row>
    <row r="725">
      <c r="A725" s="57"/>
    </row>
    <row r="726">
      <c r="A726" s="57"/>
    </row>
    <row r="727">
      <c r="A727" s="57"/>
    </row>
    <row r="728">
      <c r="A728" s="57"/>
    </row>
    <row r="729">
      <c r="A729" s="57"/>
    </row>
    <row r="730">
      <c r="A730" s="57"/>
    </row>
    <row r="731">
      <c r="A731" s="57"/>
    </row>
    <row r="732">
      <c r="A732" s="57"/>
    </row>
    <row r="733">
      <c r="A733" s="57"/>
    </row>
    <row r="734">
      <c r="A734" s="57"/>
    </row>
    <row r="735">
      <c r="A735" s="57"/>
    </row>
    <row r="736">
      <c r="A736" s="57"/>
    </row>
    <row r="737">
      <c r="A737" s="57"/>
    </row>
    <row r="738">
      <c r="A738" s="57"/>
    </row>
    <row r="739">
      <c r="A739" s="57"/>
    </row>
    <row r="740">
      <c r="A740" s="57"/>
    </row>
    <row r="741">
      <c r="A741" s="57"/>
    </row>
    <row r="742">
      <c r="A742" s="57"/>
    </row>
    <row r="743">
      <c r="A743" s="57"/>
    </row>
    <row r="744">
      <c r="A744" s="57"/>
    </row>
    <row r="745">
      <c r="A745" s="57"/>
    </row>
    <row r="746">
      <c r="A746" s="57"/>
    </row>
    <row r="747">
      <c r="A747" s="57"/>
    </row>
    <row r="748">
      <c r="A748" s="57"/>
    </row>
    <row r="749">
      <c r="A749" s="57"/>
    </row>
    <row r="750">
      <c r="A750" s="57"/>
    </row>
    <row r="751">
      <c r="A751" s="57"/>
    </row>
    <row r="752">
      <c r="A752" s="57"/>
    </row>
    <row r="753">
      <c r="A753" s="57"/>
    </row>
    <row r="754">
      <c r="A754" s="57"/>
    </row>
    <row r="755">
      <c r="A755" s="57"/>
    </row>
    <row r="756">
      <c r="A756" s="57"/>
    </row>
    <row r="757">
      <c r="A757" s="57"/>
    </row>
    <row r="758">
      <c r="A758" s="57"/>
    </row>
    <row r="759">
      <c r="A759" s="57"/>
    </row>
    <row r="760">
      <c r="A760" s="57"/>
    </row>
    <row r="761">
      <c r="A761" s="57"/>
    </row>
    <row r="762">
      <c r="A762" s="57"/>
    </row>
    <row r="763">
      <c r="A763" s="57"/>
    </row>
    <row r="764">
      <c r="A764" s="57"/>
    </row>
    <row r="765">
      <c r="A765" s="57"/>
    </row>
    <row r="766">
      <c r="A766" s="57"/>
    </row>
    <row r="767">
      <c r="A767" s="57"/>
    </row>
    <row r="768">
      <c r="A768" s="57"/>
    </row>
    <row r="769">
      <c r="A769" s="57"/>
    </row>
    <row r="770">
      <c r="A770" s="57"/>
    </row>
    <row r="771">
      <c r="A771" s="57"/>
    </row>
    <row r="772">
      <c r="A772" s="57"/>
    </row>
    <row r="773">
      <c r="A773" s="57"/>
    </row>
    <row r="774">
      <c r="A774" s="57"/>
    </row>
    <row r="775">
      <c r="A775" s="57"/>
    </row>
    <row r="776">
      <c r="A776" s="57"/>
    </row>
    <row r="777">
      <c r="A777" s="57"/>
    </row>
    <row r="778">
      <c r="A778" s="57"/>
    </row>
    <row r="779">
      <c r="A779" s="57"/>
    </row>
    <row r="780">
      <c r="A780" s="57"/>
    </row>
    <row r="781">
      <c r="A781" s="57"/>
    </row>
    <row r="782">
      <c r="A782" s="57"/>
    </row>
    <row r="783">
      <c r="A783" s="57"/>
    </row>
    <row r="784">
      <c r="A784" s="57"/>
    </row>
    <row r="785">
      <c r="A785" s="57"/>
    </row>
    <row r="786">
      <c r="A786" s="57"/>
    </row>
    <row r="787">
      <c r="A787" s="57"/>
    </row>
    <row r="788">
      <c r="A788" s="57"/>
    </row>
    <row r="789">
      <c r="A789" s="57"/>
    </row>
    <row r="790">
      <c r="A790" s="57"/>
    </row>
    <row r="791">
      <c r="A791" s="57"/>
    </row>
    <row r="792">
      <c r="A792" s="57"/>
    </row>
    <row r="793">
      <c r="A793" s="57"/>
    </row>
    <row r="794">
      <c r="A794" s="57"/>
    </row>
    <row r="795">
      <c r="A795" s="57"/>
    </row>
    <row r="796">
      <c r="A796" s="57"/>
    </row>
    <row r="797">
      <c r="A797" s="57"/>
    </row>
    <row r="798">
      <c r="A798" s="57"/>
    </row>
    <row r="799">
      <c r="A799" s="57"/>
    </row>
    <row r="800">
      <c r="A800" s="57"/>
    </row>
    <row r="801">
      <c r="A801" s="57"/>
    </row>
    <row r="802">
      <c r="A802" s="57"/>
    </row>
    <row r="803">
      <c r="A803" s="57"/>
    </row>
    <row r="804">
      <c r="A804" s="57"/>
    </row>
    <row r="805">
      <c r="A805" s="57"/>
    </row>
    <row r="806">
      <c r="A806" s="57"/>
    </row>
    <row r="807">
      <c r="A807" s="57"/>
    </row>
    <row r="808">
      <c r="A808" s="57"/>
    </row>
    <row r="809">
      <c r="A809" s="57"/>
    </row>
    <row r="810">
      <c r="A810" s="57"/>
    </row>
    <row r="811">
      <c r="A811" s="57"/>
    </row>
    <row r="812">
      <c r="A812" s="57"/>
    </row>
    <row r="813">
      <c r="A813" s="57"/>
    </row>
    <row r="814">
      <c r="A814" s="57"/>
    </row>
    <row r="815">
      <c r="A815" s="57"/>
    </row>
    <row r="816">
      <c r="A816" s="57"/>
    </row>
    <row r="817">
      <c r="A817" s="57"/>
    </row>
    <row r="818">
      <c r="A818" s="57"/>
    </row>
    <row r="819">
      <c r="A819" s="57"/>
    </row>
    <row r="820">
      <c r="A820" s="57"/>
    </row>
    <row r="821">
      <c r="A821" s="57"/>
    </row>
    <row r="822">
      <c r="A822" s="57"/>
    </row>
    <row r="823">
      <c r="A823" s="57"/>
    </row>
    <row r="824">
      <c r="A824" s="57"/>
    </row>
    <row r="825">
      <c r="A825" s="57"/>
    </row>
    <row r="826">
      <c r="A826" s="57"/>
    </row>
    <row r="827">
      <c r="A827" s="57"/>
    </row>
    <row r="828">
      <c r="A828" s="57"/>
    </row>
    <row r="829">
      <c r="A829" s="57"/>
    </row>
    <row r="830">
      <c r="A830" s="57"/>
    </row>
    <row r="831">
      <c r="A831" s="57"/>
    </row>
    <row r="832">
      <c r="A832" s="57"/>
    </row>
    <row r="833">
      <c r="A833" s="57"/>
    </row>
    <row r="834">
      <c r="A834" s="57"/>
    </row>
    <row r="835">
      <c r="A835" s="57"/>
    </row>
    <row r="836">
      <c r="A836" s="57"/>
    </row>
    <row r="837">
      <c r="A837" s="57"/>
    </row>
    <row r="838">
      <c r="A838" s="57"/>
    </row>
    <row r="839">
      <c r="A839" s="57"/>
    </row>
    <row r="840">
      <c r="A840" s="57"/>
    </row>
    <row r="841">
      <c r="A841" s="57"/>
    </row>
    <row r="842">
      <c r="A842" s="57"/>
    </row>
    <row r="843">
      <c r="A843" s="57"/>
    </row>
    <row r="844">
      <c r="A844" s="57"/>
    </row>
    <row r="845">
      <c r="A845" s="57"/>
    </row>
    <row r="846">
      <c r="A846" s="57"/>
    </row>
    <row r="847">
      <c r="A847" s="57"/>
    </row>
    <row r="848">
      <c r="A848" s="57"/>
    </row>
    <row r="849">
      <c r="A849" s="57"/>
    </row>
    <row r="850">
      <c r="A850" s="57"/>
    </row>
    <row r="851">
      <c r="A851" s="57"/>
    </row>
    <row r="852">
      <c r="A852" s="57"/>
    </row>
    <row r="853">
      <c r="A853" s="57"/>
    </row>
    <row r="854">
      <c r="A854" s="57"/>
    </row>
    <row r="855">
      <c r="A855" s="57"/>
    </row>
    <row r="856">
      <c r="A856" s="57"/>
    </row>
    <row r="857">
      <c r="A857" s="57"/>
    </row>
    <row r="858">
      <c r="A858" s="57"/>
    </row>
    <row r="859">
      <c r="A859" s="57"/>
    </row>
    <row r="860">
      <c r="A860" s="57"/>
    </row>
    <row r="861">
      <c r="A861" s="57"/>
    </row>
    <row r="862">
      <c r="A862" s="57"/>
    </row>
    <row r="863">
      <c r="A863" s="57"/>
    </row>
    <row r="864">
      <c r="A864" s="57"/>
    </row>
    <row r="865">
      <c r="A865" s="57"/>
    </row>
    <row r="866">
      <c r="A866" s="57"/>
    </row>
    <row r="867">
      <c r="A867" s="57"/>
    </row>
    <row r="868">
      <c r="A868" s="57"/>
    </row>
    <row r="869">
      <c r="A869" s="57"/>
    </row>
    <row r="870">
      <c r="A870" s="57"/>
    </row>
    <row r="871">
      <c r="A871" s="57"/>
    </row>
    <row r="872">
      <c r="A872" s="57"/>
    </row>
    <row r="873">
      <c r="A873" s="57"/>
    </row>
    <row r="874">
      <c r="A874" s="57"/>
    </row>
    <row r="875">
      <c r="A875" s="57"/>
    </row>
    <row r="876">
      <c r="A876" s="57"/>
    </row>
    <row r="877">
      <c r="A877" s="57"/>
    </row>
    <row r="878">
      <c r="A878" s="57"/>
    </row>
    <row r="879">
      <c r="A879" s="57"/>
    </row>
    <row r="880">
      <c r="A880" s="57"/>
    </row>
    <row r="881">
      <c r="A881" s="57"/>
    </row>
    <row r="882">
      <c r="A882" s="57"/>
    </row>
    <row r="883">
      <c r="A883" s="57"/>
    </row>
    <row r="884">
      <c r="A884" s="57"/>
    </row>
    <row r="885">
      <c r="A885" s="57"/>
    </row>
    <row r="886">
      <c r="A886" s="57"/>
    </row>
    <row r="887">
      <c r="A887" s="57"/>
    </row>
    <row r="888">
      <c r="A888" s="57"/>
    </row>
    <row r="889">
      <c r="A889" s="57"/>
    </row>
    <row r="890">
      <c r="A890" s="57"/>
    </row>
    <row r="891">
      <c r="A891" s="57"/>
    </row>
    <row r="892">
      <c r="A892" s="57"/>
    </row>
    <row r="893">
      <c r="A893" s="57"/>
    </row>
    <row r="894">
      <c r="A894" s="57"/>
    </row>
    <row r="895">
      <c r="A895" s="57"/>
    </row>
    <row r="896">
      <c r="A896" s="57"/>
    </row>
    <row r="897">
      <c r="A897" s="57"/>
    </row>
    <row r="898">
      <c r="A898" s="57"/>
    </row>
    <row r="899">
      <c r="A899" s="57"/>
    </row>
    <row r="900">
      <c r="A900" s="57"/>
    </row>
    <row r="901">
      <c r="A901" s="57"/>
    </row>
    <row r="902">
      <c r="A902" s="57"/>
    </row>
    <row r="903">
      <c r="A903" s="57"/>
    </row>
    <row r="904">
      <c r="A904" s="57"/>
    </row>
    <row r="905">
      <c r="A905" s="57"/>
    </row>
    <row r="906">
      <c r="A906" s="57"/>
    </row>
    <row r="907">
      <c r="A907" s="57"/>
    </row>
    <row r="908">
      <c r="A908" s="57"/>
    </row>
    <row r="909">
      <c r="A909" s="57"/>
    </row>
    <row r="910">
      <c r="A910" s="57"/>
    </row>
    <row r="911">
      <c r="A911" s="57"/>
    </row>
    <row r="912">
      <c r="A912" s="57"/>
    </row>
    <row r="913">
      <c r="A913" s="57"/>
    </row>
    <row r="914">
      <c r="A914" s="57"/>
    </row>
    <row r="915">
      <c r="A915" s="57"/>
    </row>
    <row r="916">
      <c r="A916" s="57"/>
    </row>
    <row r="917">
      <c r="A917" s="57"/>
    </row>
    <row r="918">
      <c r="A918" s="57"/>
    </row>
    <row r="919">
      <c r="A919" s="57"/>
    </row>
    <row r="920">
      <c r="A920" s="57"/>
    </row>
    <row r="921">
      <c r="A921" s="57"/>
    </row>
    <row r="922">
      <c r="A922" s="57"/>
    </row>
    <row r="923">
      <c r="A923" s="57"/>
    </row>
    <row r="924">
      <c r="A924" s="57"/>
    </row>
    <row r="925">
      <c r="A925" s="57"/>
    </row>
    <row r="926">
      <c r="A926" s="57"/>
    </row>
    <row r="927">
      <c r="A927" s="57"/>
    </row>
    <row r="928">
      <c r="A928" s="57"/>
    </row>
    <row r="929">
      <c r="A929" s="57"/>
    </row>
    <row r="930">
      <c r="A930" s="57"/>
    </row>
    <row r="931">
      <c r="A931" s="57"/>
    </row>
    <row r="932">
      <c r="A932" s="57"/>
    </row>
    <row r="933">
      <c r="A933" s="57"/>
    </row>
    <row r="934">
      <c r="A934" s="57"/>
    </row>
    <row r="935">
      <c r="A935" s="57"/>
    </row>
    <row r="936">
      <c r="A936" s="57"/>
    </row>
    <row r="937">
      <c r="A937" s="57"/>
    </row>
    <row r="938">
      <c r="A938" s="57"/>
    </row>
    <row r="939">
      <c r="A939" s="57"/>
    </row>
    <row r="940">
      <c r="A940" s="57"/>
    </row>
    <row r="941">
      <c r="A941" s="57"/>
    </row>
    <row r="942">
      <c r="A942" s="57"/>
    </row>
    <row r="943">
      <c r="A943" s="57"/>
    </row>
    <row r="944">
      <c r="A944" s="57"/>
    </row>
    <row r="945">
      <c r="A945" s="57"/>
    </row>
    <row r="946">
      <c r="A946" s="57"/>
    </row>
    <row r="947">
      <c r="A947" s="57"/>
    </row>
    <row r="948">
      <c r="A948" s="57"/>
    </row>
    <row r="949">
      <c r="A949" s="57"/>
    </row>
    <row r="950">
      <c r="A950" s="57"/>
    </row>
    <row r="951">
      <c r="A951" s="57"/>
    </row>
    <row r="952">
      <c r="A952" s="57"/>
    </row>
    <row r="953">
      <c r="A953" s="57"/>
    </row>
    <row r="954">
      <c r="A954" s="57"/>
    </row>
    <row r="955">
      <c r="A955" s="57"/>
    </row>
    <row r="956">
      <c r="A956" s="57"/>
    </row>
    <row r="957">
      <c r="A957" s="57"/>
    </row>
    <row r="958">
      <c r="A958" s="57"/>
    </row>
    <row r="959">
      <c r="A959" s="57"/>
    </row>
    <row r="960">
      <c r="A960" s="57"/>
    </row>
    <row r="961">
      <c r="A961" s="57"/>
    </row>
    <row r="962">
      <c r="A962" s="57"/>
    </row>
    <row r="963">
      <c r="A963" s="57"/>
    </row>
    <row r="964">
      <c r="A964" s="57"/>
    </row>
    <row r="965">
      <c r="A965" s="57"/>
    </row>
    <row r="966">
      <c r="A966" s="57"/>
    </row>
    <row r="967">
      <c r="A967" s="57"/>
    </row>
    <row r="968">
      <c r="A968" s="57"/>
    </row>
    <row r="969">
      <c r="A969" s="57"/>
    </row>
    <row r="970">
      <c r="A970" s="57"/>
    </row>
    <row r="971">
      <c r="A971" s="57"/>
    </row>
    <row r="972">
      <c r="A972" s="57"/>
    </row>
    <row r="973">
      <c r="A973" s="57"/>
    </row>
    <row r="974">
      <c r="A974" s="57"/>
    </row>
    <row r="975">
      <c r="A975" s="57"/>
    </row>
    <row r="976">
      <c r="A976" s="57"/>
    </row>
    <row r="977">
      <c r="A977" s="57"/>
    </row>
    <row r="978">
      <c r="A978" s="57"/>
    </row>
    <row r="979">
      <c r="A979" s="57"/>
    </row>
    <row r="980">
      <c r="A980" s="57"/>
    </row>
    <row r="981">
      <c r="A981" s="57"/>
    </row>
    <row r="982">
      <c r="A982" s="57"/>
    </row>
    <row r="983">
      <c r="A983" s="57"/>
    </row>
    <row r="984">
      <c r="A984" s="57"/>
    </row>
    <row r="985">
      <c r="A985" s="57"/>
    </row>
    <row r="986">
      <c r="A986" s="57"/>
    </row>
    <row r="987">
      <c r="A987" s="57"/>
    </row>
    <row r="988">
      <c r="A988" s="57"/>
    </row>
    <row r="989">
      <c r="A989" s="57"/>
    </row>
    <row r="990">
      <c r="A990" s="57"/>
    </row>
    <row r="991">
      <c r="A991" s="57"/>
    </row>
    <row r="992">
      <c r="A992" s="57"/>
    </row>
    <row r="993">
      <c r="A993" s="57"/>
    </row>
    <row r="994">
      <c r="A994" s="57"/>
    </row>
    <row r="995">
      <c r="A995" s="57"/>
    </row>
    <row r="996">
      <c r="A996" s="57"/>
    </row>
    <row r="997">
      <c r="A997" s="57"/>
    </row>
    <row r="998">
      <c r="A998" s="57"/>
    </row>
    <row r="999">
      <c r="A999" s="57"/>
    </row>
    <row r="1000">
      <c r="A1000" s="5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9.0"/>
  </cols>
  <sheetData>
    <row r="1">
      <c r="A1" s="50" t="s">
        <v>442</v>
      </c>
      <c r="B1" s="18" t="s">
        <v>509</v>
      </c>
      <c r="C1" s="18" t="s">
        <v>510</v>
      </c>
    </row>
    <row r="2">
      <c r="A2" s="48" t="s">
        <v>511</v>
      </c>
      <c r="B2" s="18">
        <v>68.0</v>
      </c>
    </row>
    <row r="3">
      <c r="A3" s="48" t="s">
        <v>512</v>
      </c>
      <c r="B3" s="18">
        <v>19.0</v>
      </c>
    </row>
    <row r="4">
      <c r="A4" s="18" t="s">
        <v>513</v>
      </c>
      <c r="B4" s="18">
        <v>8.0</v>
      </c>
    </row>
    <row r="5">
      <c r="A5" s="48" t="s">
        <v>514</v>
      </c>
      <c r="B5" s="18">
        <v>1.0</v>
      </c>
    </row>
    <row r="6">
      <c r="A6" s="50"/>
    </row>
    <row r="7">
      <c r="A7" s="50"/>
    </row>
    <row r="8">
      <c r="A8" s="48"/>
    </row>
    <row r="9">
      <c r="A9" s="53"/>
    </row>
    <row r="10">
      <c r="A10" s="50"/>
    </row>
    <row r="11">
      <c r="A11" s="50"/>
    </row>
    <row r="12">
      <c r="A12" s="53"/>
    </row>
    <row r="13">
      <c r="A13" s="54"/>
    </row>
    <row r="14">
      <c r="A14" s="53"/>
    </row>
    <row r="15">
      <c r="A15" s="50"/>
    </row>
    <row r="16">
      <c r="A16" s="53"/>
    </row>
    <row r="17">
      <c r="A17" s="54"/>
    </row>
    <row r="18">
      <c r="A18" s="54"/>
    </row>
    <row r="19">
      <c r="A19" s="53"/>
    </row>
    <row r="20">
      <c r="A20" s="37"/>
    </row>
    <row r="21">
      <c r="A21" s="48"/>
    </row>
    <row r="22">
      <c r="A22" s="50"/>
    </row>
    <row r="23">
      <c r="A23" s="48"/>
    </row>
    <row r="24">
      <c r="A24" s="50"/>
    </row>
    <row r="25">
      <c r="A25" s="50"/>
    </row>
    <row r="26">
      <c r="A26" s="57"/>
    </row>
    <row r="27">
      <c r="A27" s="57"/>
    </row>
    <row r="29">
      <c r="A29" s="57"/>
    </row>
    <row r="30">
      <c r="A30" s="57"/>
    </row>
    <row r="31">
      <c r="A31" s="57"/>
    </row>
    <row r="32">
      <c r="A32" s="57"/>
    </row>
    <row r="33">
      <c r="A33" s="57"/>
    </row>
    <row r="34">
      <c r="A34" s="57"/>
    </row>
    <row r="35">
      <c r="A35" s="57"/>
    </row>
    <row r="36">
      <c r="A36" s="57"/>
    </row>
    <row r="37">
      <c r="A37" s="57"/>
    </row>
    <row r="38">
      <c r="A38" s="57"/>
    </row>
    <row r="39">
      <c r="A39" s="57"/>
    </row>
    <row r="40">
      <c r="A40" s="57"/>
    </row>
    <row r="41">
      <c r="A41" s="57"/>
    </row>
    <row r="42">
      <c r="A42" s="57"/>
    </row>
    <row r="43">
      <c r="A43" s="57"/>
    </row>
    <row r="44">
      <c r="A44" s="57"/>
    </row>
    <row r="45">
      <c r="A45" s="57"/>
    </row>
    <row r="46">
      <c r="A46" s="57"/>
    </row>
    <row r="47">
      <c r="A47" s="57"/>
    </row>
    <row r="48">
      <c r="A48" s="57"/>
    </row>
    <row r="49">
      <c r="A49" s="57"/>
    </row>
    <row r="50">
      <c r="A50" s="57"/>
    </row>
    <row r="51">
      <c r="A51" s="57"/>
    </row>
    <row r="52">
      <c r="A52" s="57"/>
    </row>
    <row r="53">
      <c r="A53" s="57"/>
    </row>
    <row r="54">
      <c r="A54" s="57"/>
    </row>
    <row r="55">
      <c r="A55" s="57"/>
    </row>
    <row r="56">
      <c r="A56" s="57"/>
    </row>
    <row r="57">
      <c r="A57" s="57"/>
    </row>
    <row r="58">
      <c r="A58" s="57"/>
    </row>
    <row r="59">
      <c r="A59" s="57"/>
    </row>
    <row r="60">
      <c r="A60" s="57"/>
    </row>
    <row r="61">
      <c r="A61" s="57"/>
    </row>
    <row r="62">
      <c r="A62" s="57"/>
    </row>
    <row r="63">
      <c r="A63" s="57"/>
    </row>
    <row r="64">
      <c r="A64" s="57"/>
    </row>
    <row r="65">
      <c r="A65" s="57"/>
    </row>
    <row r="66">
      <c r="A66" s="57"/>
    </row>
    <row r="67">
      <c r="A67" s="57"/>
    </row>
    <row r="68">
      <c r="A68" s="57"/>
    </row>
    <row r="69">
      <c r="A69" s="57"/>
    </row>
    <row r="70">
      <c r="A70" s="57"/>
    </row>
    <row r="71">
      <c r="A71" s="57"/>
    </row>
    <row r="72">
      <c r="A72" s="57"/>
    </row>
    <row r="73">
      <c r="A73" s="57"/>
    </row>
    <row r="74">
      <c r="A74" s="57"/>
    </row>
    <row r="75">
      <c r="A75" s="57"/>
    </row>
    <row r="76">
      <c r="A76" s="57"/>
    </row>
    <row r="77">
      <c r="A77" s="57"/>
    </row>
    <row r="78">
      <c r="A78" s="57"/>
    </row>
    <row r="79">
      <c r="A79" s="57"/>
    </row>
    <row r="80">
      <c r="A80" s="57"/>
    </row>
    <row r="81">
      <c r="A81" s="57"/>
    </row>
    <row r="82">
      <c r="A82" s="57"/>
    </row>
    <row r="83">
      <c r="A83" s="57"/>
    </row>
    <row r="84">
      <c r="A84" s="57"/>
    </row>
    <row r="85">
      <c r="A85" s="57"/>
    </row>
    <row r="86">
      <c r="A86" s="57"/>
    </row>
    <row r="87">
      <c r="A87" s="57"/>
    </row>
    <row r="88">
      <c r="A88" s="57"/>
    </row>
    <row r="89">
      <c r="A89" s="57"/>
    </row>
    <row r="90">
      <c r="A90" s="57"/>
    </row>
    <row r="91">
      <c r="A91" s="57"/>
    </row>
    <row r="92">
      <c r="A92" s="57"/>
    </row>
    <row r="93">
      <c r="A93" s="57"/>
    </row>
    <row r="94">
      <c r="A94" s="57"/>
    </row>
    <row r="95">
      <c r="A95" s="57"/>
    </row>
    <row r="96">
      <c r="A96" s="57"/>
    </row>
    <row r="97">
      <c r="A97" s="57"/>
    </row>
    <row r="98">
      <c r="A98" s="57"/>
    </row>
    <row r="99">
      <c r="A99" s="57"/>
    </row>
    <row r="100">
      <c r="A100" s="57"/>
    </row>
    <row r="101">
      <c r="A101" s="57"/>
    </row>
    <row r="102">
      <c r="A102" s="57"/>
    </row>
    <row r="103">
      <c r="A103" s="57"/>
    </row>
    <row r="104">
      <c r="A104" s="57"/>
    </row>
    <row r="105">
      <c r="A105" s="57"/>
    </row>
    <row r="106">
      <c r="A106" s="57"/>
    </row>
    <row r="107">
      <c r="A107" s="57"/>
    </row>
    <row r="108">
      <c r="A108" s="57"/>
    </row>
    <row r="109">
      <c r="A109" s="57"/>
    </row>
    <row r="110">
      <c r="A110" s="57"/>
    </row>
    <row r="111">
      <c r="A111" s="57"/>
    </row>
    <row r="112">
      <c r="A112" s="57"/>
    </row>
    <row r="113">
      <c r="A113" s="57"/>
    </row>
    <row r="114">
      <c r="A114" s="57"/>
    </row>
    <row r="115">
      <c r="A115" s="57"/>
    </row>
    <row r="116">
      <c r="A116" s="57"/>
    </row>
    <row r="117">
      <c r="A117" s="57"/>
    </row>
    <row r="118">
      <c r="A118" s="57"/>
    </row>
    <row r="119">
      <c r="A119" s="57"/>
    </row>
    <row r="120">
      <c r="A120" s="57"/>
    </row>
    <row r="121">
      <c r="A121" s="57"/>
    </row>
    <row r="122">
      <c r="A122" s="57"/>
    </row>
    <row r="123">
      <c r="A123" s="57"/>
    </row>
    <row r="124">
      <c r="A124" s="57"/>
    </row>
    <row r="125">
      <c r="A125" s="57"/>
    </row>
    <row r="126">
      <c r="A126" s="57"/>
    </row>
    <row r="127">
      <c r="A127" s="57"/>
    </row>
    <row r="128">
      <c r="A128" s="57"/>
    </row>
    <row r="129">
      <c r="A129" s="57"/>
    </row>
    <row r="130">
      <c r="A130" s="57"/>
    </row>
    <row r="131">
      <c r="A131" s="57"/>
    </row>
    <row r="132">
      <c r="A132" s="57"/>
    </row>
    <row r="133">
      <c r="A133" s="57"/>
    </row>
    <row r="134">
      <c r="A134" s="57"/>
    </row>
    <row r="135">
      <c r="A135" s="57"/>
    </row>
    <row r="136">
      <c r="A136" s="57"/>
    </row>
    <row r="137">
      <c r="A137" s="57"/>
    </row>
    <row r="138">
      <c r="A138" s="57"/>
    </row>
    <row r="139">
      <c r="A139" s="57"/>
    </row>
    <row r="140">
      <c r="A140" s="57"/>
    </row>
    <row r="141">
      <c r="A141" s="57"/>
    </row>
    <row r="142">
      <c r="A142" s="57"/>
    </row>
    <row r="143">
      <c r="A143" s="57"/>
    </row>
    <row r="144">
      <c r="A144" s="57"/>
    </row>
    <row r="145">
      <c r="A145" s="57"/>
    </row>
    <row r="146">
      <c r="A146" s="57"/>
    </row>
    <row r="147">
      <c r="A147" s="57"/>
    </row>
    <row r="148">
      <c r="A148" s="57"/>
    </row>
    <row r="149">
      <c r="A149" s="57"/>
    </row>
    <row r="150">
      <c r="A150" s="57"/>
    </row>
    <row r="151">
      <c r="A151" s="57"/>
    </row>
    <row r="152">
      <c r="A152" s="57"/>
    </row>
    <row r="153">
      <c r="A153" s="57"/>
    </row>
    <row r="154">
      <c r="A154" s="57"/>
    </row>
    <row r="155">
      <c r="A155" s="57"/>
    </row>
    <row r="156">
      <c r="A156" s="57"/>
    </row>
    <row r="157">
      <c r="A157" s="57"/>
    </row>
    <row r="158">
      <c r="A158" s="57"/>
    </row>
    <row r="159">
      <c r="A159" s="57"/>
    </row>
    <row r="160">
      <c r="A160" s="57"/>
    </row>
    <row r="161">
      <c r="A161" s="57"/>
    </row>
    <row r="162">
      <c r="A162" s="57"/>
    </row>
    <row r="163">
      <c r="A163" s="57"/>
    </row>
    <row r="164">
      <c r="A164" s="57"/>
    </row>
    <row r="165">
      <c r="A165" s="57"/>
    </row>
    <row r="166">
      <c r="A166" s="57"/>
    </row>
    <row r="167">
      <c r="A167" s="57"/>
    </row>
    <row r="168">
      <c r="A168" s="57"/>
    </row>
    <row r="169">
      <c r="A169" s="57"/>
    </row>
    <row r="170">
      <c r="A170" s="57"/>
    </row>
    <row r="171">
      <c r="A171" s="57"/>
    </row>
    <row r="172">
      <c r="A172" s="57"/>
    </row>
    <row r="173">
      <c r="A173" s="57"/>
    </row>
    <row r="174">
      <c r="A174" s="57"/>
    </row>
    <row r="175">
      <c r="A175" s="57"/>
    </row>
    <row r="176">
      <c r="A176" s="57"/>
    </row>
    <row r="177">
      <c r="A177" s="57"/>
    </row>
    <row r="178">
      <c r="A178" s="57"/>
    </row>
    <row r="179">
      <c r="A179" s="57"/>
    </row>
    <row r="180">
      <c r="A180" s="57"/>
    </row>
    <row r="181">
      <c r="A181" s="57"/>
    </row>
    <row r="182">
      <c r="A182" s="57"/>
    </row>
    <row r="183">
      <c r="A183" s="57"/>
    </row>
    <row r="184">
      <c r="A184" s="57"/>
    </row>
    <row r="185">
      <c r="A185" s="57"/>
    </row>
    <row r="186">
      <c r="A186" s="57"/>
    </row>
    <row r="187">
      <c r="A187" s="57"/>
    </row>
    <row r="188">
      <c r="A188" s="57"/>
    </row>
    <row r="189">
      <c r="A189" s="57"/>
    </row>
    <row r="190">
      <c r="A190" s="57"/>
    </row>
    <row r="191">
      <c r="A191" s="57"/>
    </row>
    <row r="192">
      <c r="A192" s="57"/>
    </row>
    <row r="193">
      <c r="A193" s="57"/>
    </row>
    <row r="194">
      <c r="A194" s="57"/>
    </row>
    <row r="195">
      <c r="A195" s="57"/>
    </row>
    <row r="196">
      <c r="A196" s="57"/>
    </row>
    <row r="197">
      <c r="A197" s="57"/>
    </row>
    <row r="198">
      <c r="A198" s="57"/>
    </row>
    <row r="199">
      <c r="A199" s="57"/>
    </row>
    <row r="200">
      <c r="A200" s="57"/>
    </row>
    <row r="201">
      <c r="A201" s="57"/>
    </row>
    <row r="202">
      <c r="A202" s="57"/>
    </row>
    <row r="203">
      <c r="A203" s="57"/>
    </row>
    <row r="204">
      <c r="A204" s="57"/>
    </row>
    <row r="205">
      <c r="A205" s="57"/>
    </row>
    <row r="206">
      <c r="A206" s="57"/>
    </row>
    <row r="207">
      <c r="A207" s="57"/>
    </row>
    <row r="208">
      <c r="A208" s="57"/>
    </row>
    <row r="209">
      <c r="A209" s="57"/>
    </row>
    <row r="210">
      <c r="A210" s="57"/>
    </row>
    <row r="211">
      <c r="A211" s="57"/>
    </row>
    <row r="212">
      <c r="A212" s="57"/>
    </row>
    <row r="213">
      <c r="A213" s="57"/>
    </row>
    <row r="214">
      <c r="A214" s="57"/>
    </row>
    <row r="215">
      <c r="A215" s="57"/>
    </row>
    <row r="216">
      <c r="A216" s="57"/>
    </row>
    <row r="217">
      <c r="A217" s="57"/>
    </row>
    <row r="218">
      <c r="A218" s="57"/>
    </row>
    <row r="219">
      <c r="A219" s="57"/>
    </row>
    <row r="220">
      <c r="A220" s="57"/>
    </row>
    <row r="221">
      <c r="A221" s="57"/>
    </row>
    <row r="222">
      <c r="A222" s="57"/>
    </row>
    <row r="223">
      <c r="A223" s="57"/>
    </row>
    <row r="224">
      <c r="A224" s="57"/>
    </row>
    <row r="225">
      <c r="A225" s="57"/>
    </row>
    <row r="226">
      <c r="A226" s="57"/>
    </row>
    <row r="227">
      <c r="A227" s="57"/>
    </row>
    <row r="228">
      <c r="A228" s="57"/>
    </row>
    <row r="229">
      <c r="A229" s="57"/>
    </row>
    <row r="230">
      <c r="A230" s="57"/>
    </row>
    <row r="231">
      <c r="A231" s="57"/>
    </row>
    <row r="232">
      <c r="A232" s="57"/>
    </row>
    <row r="233">
      <c r="A233" s="57"/>
    </row>
    <row r="234">
      <c r="A234" s="57"/>
    </row>
    <row r="235">
      <c r="A235" s="57"/>
    </row>
    <row r="236">
      <c r="A236" s="57"/>
    </row>
    <row r="237">
      <c r="A237" s="57"/>
    </row>
    <row r="238">
      <c r="A238" s="57"/>
    </row>
    <row r="239">
      <c r="A239" s="57"/>
    </row>
    <row r="240">
      <c r="A240" s="57"/>
    </row>
    <row r="241">
      <c r="A241" s="57"/>
    </row>
    <row r="242">
      <c r="A242" s="57"/>
    </row>
    <row r="243">
      <c r="A243" s="57"/>
    </row>
    <row r="244">
      <c r="A244" s="57"/>
    </row>
    <row r="245">
      <c r="A245" s="57"/>
    </row>
    <row r="246">
      <c r="A246" s="57"/>
    </row>
    <row r="247">
      <c r="A247" s="57"/>
    </row>
    <row r="248">
      <c r="A248" s="57"/>
    </row>
    <row r="249">
      <c r="A249" s="57"/>
    </row>
    <row r="250">
      <c r="A250" s="57"/>
    </row>
    <row r="251">
      <c r="A251" s="57"/>
    </row>
    <row r="252">
      <c r="A252" s="57"/>
    </row>
    <row r="253">
      <c r="A253" s="57"/>
    </row>
    <row r="254">
      <c r="A254" s="57"/>
    </row>
    <row r="255">
      <c r="A255" s="57"/>
    </row>
    <row r="256">
      <c r="A256" s="57"/>
    </row>
    <row r="257">
      <c r="A257" s="57"/>
    </row>
    <row r="258">
      <c r="A258" s="57"/>
    </row>
    <row r="259">
      <c r="A259" s="57"/>
    </row>
    <row r="260">
      <c r="A260" s="57"/>
    </row>
    <row r="261">
      <c r="A261" s="57"/>
    </row>
    <row r="262">
      <c r="A262" s="57"/>
    </row>
    <row r="263">
      <c r="A263" s="57"/>
    </row>
    <row r="264">
      <c r="A264" s="57"/>
    </row>
    <row r="265">
      <c r="A265" s="57"/>
    </row>
    <row r="266">
      <c r="A266" s="57"/>
    </row>
    <row r="267">
      <c r="A267" s="57"/>
    </row>
    <row r="268">
      <c r="A268" s="57"/>
    </row>
    <row r="269">
      <c r="A269" s="57"/>
    </row>
    <row r="270">
      <c r="A270" s="57"/>
    </row>
    <row r="271">
      <c r="A271" s="57"/>
    </row>
    <row r="272">
      <c r="A272" s="57"/>
    </row>
    <row r="273">
      <c r="A273" s="57"/>
    </row>
    <row r="274">
      <c r="A274" s="57"/>
    </row>
    <row r="275">
      <c r="A275" s="57"/>
    </row>
    <row r="276">
      <c r="A276" s="57"/>
    </row>
    <row r="277">
      <c r="A277" s="57"/>
    </row>
    <row r="278">
      <c r="A278" s="57"/>
    </row>
    <row r="279">
      <c r="A279" s="57"/>
    </row>
    <row r="280">
      <c r="A280" s="57"/>
    </row>
    <row r="281">
      <c r="A281" s="57"/>
    </row>
    <row r="282">
      <c r="A282" s="57"/>
    </row>
    <row r="283">
      <c r="A283" s="57"/>
    </row>
    <row r="284">
      <c r="A284" s="57"/>
    </row>
    <row r="285">
      <c r="A285" s="57"/>
    </row>
    <row r="286">
      <c r="A286" s="57"/>
    </row>
    <row r="287">
      <c r="A287" s="57"/>
    </row>
    <row r="288">
      <c r="A288" s="57"/>
    </row>
    <row r="289">
      <c r="A289" s="57"/>
    </row>
    <row r="290">
      <c r="A290" s="57"/>
    </row>
    <row r="291">
      <c r="A291" s="57"/>
    </row>
    <row r="292">
      <c r="A292" s="57"/>
    </row>
    <row r="293">
      <c r="A293" s="57"/>
    </row>
    <row r="294">
      <c r="A294" s="57"/>
    </row>
    <row r="295">
      <c r="A295" s="57"/>
    </row>
    <row r="296">
      <c r="A296" s="57"/>
    </row>
    <row r="297">
      <c r="A297" s="57"/>
    </row>
    <row r="298">
      <c r="A298" s="57"/>
    </row>
    <row r="299">
      <c r="A299" s="57"/>
    </row>
    <row r="300">
      <c r="A300" s="57"/>
    </row>
    <row r="301">
      <c r="A301" s="57"/>
    </row>
    <row r="302">
      <c r="A302" s="57"/>
    </row>
    <row r="303">
      <c r="A303" s="57"/>
    </row>
    <row r="304">
      <c r="A304" s="57"/>
    </row>
    <row r="305">
      <c r="A305" s="57"/>
    </row>
    <row r="306">
      <c r="A306" s="57"/>
    </row>
    <row r="307">
      <c r="A307" s="57"/>
    </row>
    <row r="308">
      <c r="A308" s="57"/>
    </row>
    <row r="309">
      <c r="A309" s="57"/>
    </row>
    <row r="310">
      <c r="A310" s="57"/>
    </row>
    <row r="311">
      <c r="A311" s="57"/>
    </row>
    <row r="312">
      <c r="A312" s="57"/>
    </row>
    <row r="313">
      <c r="A313" s="57"/>
    </row>
    <row r="314">
      <c r="A314" s="57"/>
    </row>
    <row r="315">
      <c r="A315" s="57"/>
    </row>
    <row r="316">
      <c r="A316" s="57"/>
    </row>
    <row r="317">
      <c r="A317" s="57"/>
    </row>
    <row r="318">
      <c r="A318" s="57"/>
    </row>
    <row r="319">
      <c r="A319" s="57"/>
    </row>
    <row r="320">
      <c r="A320" s="57"/>
    </row>
    <row r="321">
      <c r="A321" s="57"/>
    </row>
    <row r="322">
      <c r="A322" s="57"/>
    </row>
    <row r="323">
      <c r="A323" s="57"/>
    </row>
    <row r="324">
      <c r="A324" s="57"/>
    </row>
    <row r="325">
      <c r="A325" s="57"/>
    </row>
    <row r="326">
      <c r="A326" s="57"/>
    </row>
    <row r="327">
      <c r="A327" s="57"/>
    </row>
    <row r="328">
      <c r="A328" s="57"/>
    </row>
    <row r="329">
      <c r="A329" s="57"/>
    </row>
    <row r="330">
      <c r="A330" s="57"/>
    </row>
    <row r="331">
      <c r="A331" s="57"/>
    </row>
    <row r="332">
      <c r="A332" s="57"/>
    </row>
    <row r="333">
      <c r="A333" s="57"/>
    </row>
    <row r="334">
      <c r="A334" s="57"/>
    </row>
    <row r="335">
      <c r="A335" s="57"/>
    </row>
    <row r="336">
      <c r="A336" s="57"/>
    </row>
    <row r="337">
      <c r="A337" s="57"/>
    </row>
    <row r="338">
      <c r="A338" s="57"/>
    </row>
    <row r="339">
      <c r="A339" s="57"/>
    </row>
    <row r="340">
      <c r="A340" s="57"/>
    </row>
    <row r="341">
      <c r="A341" s="57"/>
    </row>
    <row r="342">
      <c r="A342" s="57"/>
    </row>
    <row r="343">
      <c r="A343" s="57"/>
    </row>
    <row r="344">
      <c r="A344" s="57"/>
    </row>
    <row r="345">
      <c r="A345" s="57"/>
    </row>
    <row r="346">
      <c r="A346" s="57"/>
    </row>
    <row r="347">
      <c r="A347" s="57"/>
    </row>
    <row r="348">
      <c r="A348" s="57"/>
    </row>
    <row r="349">
      <c r="A349" s="57"/>
    </row>
    <row r="350">
      <c r="A350" s="57"/>
    </row>
    <row r="351">
      <c r="A351" s="57"/>
    </row>
    <row r="352">
      <c r="A352" s="57"/>
    </row>
    <row r="353">
      <c r="A353" s="57"/>
    </row>
    <row r="354">
      <c r="A354" s="57"/>
    </row>
    <row r="355">
      <c r="A355" s="57"/>
    </row>
    <row r="356">
      <c r="A356" s="57"/>
    </row>
    <row r="357">
      <c r="A357" s="57"/>
    </row>
    <row r="358">
      <c r="A358" s="57"/>
    </row>
    <row r="359">
      <c r="A359" s="57"/>
    </row>
    <row r="360">
      <c r="A360" s="57"/>
    </row>
    <row r="361">
      <c r="A361" s="57"/>
    </row>
    <row r="362">
      <c r="A362" s="57"/>
    </row>
    <row r="363">
      <c r="A363" s="57"/>
    </row>
    <row r="364">
      <c r="A364" s="57"/>
    </row>
    <row r="365">
      <c r="A365" s="57"/>
    </row>
    <row r="366">
      <c r="A366" s="57"/>
    </row>
    <row r="367">
      <c r="A367" s="57"/>
    </row>
    <row r="368">
      <c r="A368" s="57"/>
    </row>
    <row r="369">
      <c r="A369" s="57"/>
    </row>
    <row r="370">
      <c r="A370" s="57"/>
    </row>
    <row r="371">
      <c r="A371" s="57"/>
    </row>
    <row r="372">
      <c r="A372" s="57"/>
    </row>
    <row r="373">
      <c r="A373" s="57"/>
    </row>
    <row r="374">
      <c r="A374" s="57"/>
    </row>
    <row r="375">
      <c r="A375" s="57"/>
    </row>
    <row r="376">
      <c r="A376" s="57"/>
    </row>
    <row r="377">
      <c r="A377" s="57"/>
    </row>
    <row r="378">
      <c r="A378" s="57"/>
    </row>
    <row r="379">
      <c r="A379" s="57"/>
    </row>
    <row r="380">
      <c r="A380" s="57"/>
    </row>
    <row r="381">
      <c r="A381" s="57"/>
    </row>
    <row r="382">
      <c r="A382" s="57"/>
    </row>
    <row r="383">
      <c r="A383" s="57"/>
    </row>
    <row r="384">
      <c r="A384" s="57"/>
    </row>
    <row r="385">
      <c r="A385" s="57"/>
    </row>
    <row r="386">
      <c r="A386" s="57"/>
    </row>
    <row r="387">
      <c r="A387" s="57"/>
    </row>
    <row r="388">
      <c r="A388" s="57"/>
    </row>
    <row r="389">
      <c r="A389" s="57"/>
    </row>
    <row r="390">
      <c r="A390" s="57"/>
    </row>
    <row r="391">
      <c r="A391" s="57"/>
    </row>
    <row r="392">
      <c r="A392" s="57"/>
    </row>
    <row r="393">
      <c r="A393" s="57"/>
    </row>
    <row r="394">
      <c r="A394" s="57"/>
    </row>
    <row r="395">
      <c r="A395" s="57"/>
    </row>
    <row r="396">
      <c r="A396" s="57"/>
    </row>
    <row r="397">
      <c r="A397" s="57"/>
    </row>
    <row r="398">
      <c r="A398" s="57"/>
    </row>
    <row r="399">
      <c r="A399" s="57"/>
    </row>
    <row r="400">
      <c r="A400" s="57"/>
    </row>
    <row r="401">
      <c r="A401" s="57"/>
    </row>
    <row r="402">
      <c r="A402" s="57"/>
    </row>
    <row r="403">
      <c r="A403" s="57"/>
    </row>
    <row r="404">
      <c r="A404" s="57"/>
    </row>
    <row r="405">
      <c r="A405" s="57"/>
    </row>
    <row r="406">
      <c r="A406" s="57"/>
    </row>
    <row r="407">
      <c r="A407" s="57"/>
    </row>
    <row r="408">
      <c r="A408" s="57"/>
    </row>
    <row r="409">
      <c r="A409" s="57"/>
    </row>
    <row r="410">
      <c r="A410" s="57"/>
    </row>
    <row r="411">
      <c r="A411" s="57"/>
    </row>
    <row r="412">
      <c r="A412" s="57"/>
    </row>
    <row r="413">
      <c r="A413" s="57"/>
    </row>
    <row r="414">
      <c r="A414" s="57"/>
    </row>
    <row r="415">
      <c r="A415" s="57"/>
    </row>
    <row r="416">
      <c r="A416" s="57"/>
    </row>
    <row r="417">
      <c r="A417" s="57"/>
    </row>
    <row r="418">
      <c r="A418" s="57"/>
    </row>
    <row r="419">
      <c r="A419" s="57"/>
    </row>
    <row r="420">
      <c r="A420" s="57"/>
    </row>
    <row r="421">
      <c r="A421" s="57"/>
    </row>
    <row r="422">
      <c r="A422" s="57"/>
    </row>
    <row r="423">
      <c r="A423" s="57"/>
    </row>
    <row r="424">
      <c r="A424" s="57"/>
    </row>
    <row r="425">
      <c r="A425" s="57"/>
    </row>
    <row r="426">
      <c r="A426" s="57"/>
    </row>
    <row r="427">
      <c r="A427" s="57"/>
    </row>
    <row r="428">
      <c r="A428" s="57"/>
    </row>
    <row r="429">
      <c r="A429" s="57"/>
    </row>
    <row r="430">
      <c r="A430" s="57"/>
    </row>
    <row r="431">
      <c r="A431" s="57"/>
    </row>
    <row r="432">
      <c r="A432" s="57"/>
    </row>
    <row r="433">
      <c r="A433" s="57"/>
    </row>
    <row r="434">
      <c r="A434" s="57"/>
    </row>
    <row r="435">
      <c r="A435" s="57"/>
    </row>
    <row r="436">
      <c r="A436" s="57"/>
    </row>
    <row r="437">
      <c r="A437" s="57"/>
    </row>
    <row r="438">
      <c r="A438" s="57"/>
    </row>
    <row r="439">
      <c r="A439" s="57"/>
    </row>
    <row r="440">
      <c r="A440" s="57"/>
    </row>
    <row r="441">
      <c r="A441" s="57"/>
    </row>
    <row r="442">
      <c r="A442" s="57"/>
    </row>
    <row r="443">
      <c r="A443" s="57"/>
    </row>
    <row r="444">
      <c r="A444" s="57"/>
    </row>
    <row r="445">
      <c r="A445" s="57"/>
    </row>
    <row r="446">
      <c r="A446" s="57"/>
    </row>
    <row r="447">
      <c r="A447" s="57"/>
    </row>
    <row r="448">
      <c r="A448" s="57"/>
    </row>
    <row r="449">
      <c r="A449" s="57"/>
    </row>
    <row r="450">
      <c r="A450" s="57"/>
    </row>
    <row r="451">
      <c r="A451" s="57"/>
    </row>
    <row r="452">
      <c r="A452" s="57"/>
    </row>
    <row r="453">
      <c r="A453" s="57"/>
    </row>
    <row r="454">
      <c r="A454" s="57"/>
    </row>
    <row r="455">
      <c r="A455" s="57"/>
    </row>
    <row r="456">
      <c r="A456" s="57"/>
    </row>
    <row r="457">
      <c r="A457" s="57"/>
    </row>
    <row r="458">
      <c r="A458" s="57"/>
    </row>
    <row r="459">
      <c r="A459" s="57"/>
    </row>
    <row r="460">
      <c r="A460" s="57"/>
    </row>
    <row r="461">
      <c r="A461" s="57"/>
    </row>
    <row r="462">
      <c r="A462" s="57"/>
    </row>
    <row r="463">
      <c r="A463" s="57"/>
    </row>
    <row r="464">
      <c r="A464" s="57"/>
    </row>
    <row r="465">
      <c r="A465" s="57"/>
    </row>
    <row r="466">
      <c r="A466" s="57"/>
    </row>
    <row r="467">
      <c r="A467" s="57"/>
    </row>
    <row r="468">
      <c r="A468" s="57"/>
    </row>
    <row r="469">
      <c r="A469" s="57"/>
    </row>
    <row r="470">
      <c r="A470" s="57"/>
    </row>
    <row r="471">
      <c r="A471" s="57"/>
    </row>
    <row r="472">
      <c r="A472" s="57"/>
    </row>
    <row r="473">
      <c r="A473" s="57"/>
    </row>
    <row r="474">
      <c r="A474" s="57"/>
    </row>
    <row r="475">
      <c r="A475" s="57"/>
    </row>
    <row r="476">
      <c r="A476" s="57"/>
    </row>
    <row r="477">
      <c r="A477" s="57"/>
    </row>
    <row r="478">
      <c r="A478" s="57"/>
    </row>
    <row r="479">
      <c r="A479" s="57"/>
    </row>
    <row r="480">
      <c r="A480" s="57"/>
    </row>
    <row r="481">
      <c r="A481" s="57"/>
    </row>
    <row r="482">
      <c r="A482" s="57"/>
    </row>
    <row r="483">
      <c r="A483" s="57"/>
    </row>
    <row r="484">
      <c r="A484" s="57"/>
    </row>
    <row r="485">
      <c r="A485" s="57"/>
    </row>
    <row r="486">
      <c r="A486" s="57"/>
    </row>
    <row r="487">
      <c r="A487" s="57"/>
    </row>
    <row r="488">
      <c r="A488" s="57"/>
    </row>
    <row r="489">
      <c r="A489" s="57"/>
    </row>
    <row r="490">
      <c r="A490" s="57"/>
    </row>
    <row r="491">
      <c r="A491" s="57"/>
    </row>
    <row r="492">
      <c r="A492" s="57"/>
    </row>
    <row r="493">
      <c r="A493" s="57"/>
    </row>
    <row r="494">
      <c r="A494" s="57"/>
    </row>
    <row r="495">
      <c r="A495" s="57"/>
    </row>
    <row r="496">
      <c r="A496" s="57"/>
    </row>
    <row r="497">
      <c r="A497" s="57"/>
    </row>
    <row r="498">
      <c r="A498" s="57"/>
    </row>
    <row r="499">
      <c r="A499" s="57"/>
    </row>
    <row r="500">
      <c r="A500" s="57"/>
    </row>
    <row r="501">
      <c r="A501" s="57"/>
    </row>
    <row r="502">
      <c r="A502" s="57"/>
    </row>
    <row r="503">
      <c r="A503" s="57"/>
    </row>
    <row r="504">
      <c r="A504" s="57"/>
    </row>
    <row r="505">
      <c r="A505" s="57"/>
    </row>
    <row r="506">
      <c r="A506" s="57"/>
    </row>
    <row r="507">
      <c r="A507" s="57"/>
    </row>
    <row r="508">
      <c r="A508" s="57"/>
    </row>
    <row r="509">
      <c r="A509" s="57"/>
    </row>
    <row r="510">
      <c r="A510" s="57"/>
    </row>
    <row r="511">
      <c r="A511" s="57"/>
    </row>
    <row r="512">
      <c r="A512" s="57"/>
    </row>
    <row r="513">
      <c r="A513" s="57"/>
    </row>
    <row r="514">
      <c r="A514" s="57"/>
    </row>
    <row r="515">
      <c r="A515" s="57"/>
    </row>
    <row r="516">
      <c r="A516" s="57"/>
    </row>
    <row r="517">
      <c r="A517" s="57"/>
    </row>
    <row r="518">
      <c r="A518" s="57"/>
    </row>
    <row r="519">
      <c r="A519" s="57"/>
    </row>
    <row r="520">
      <c r="A520" s="57"/>
    </row>
    <row r="521">
      <c r="A521" s="57"/>
    </row>
    <row r="522">
      <c r="A522" s="57"/>
    </row>
    <row r="523">
      <c r="A523" s="57"/>
    </row>
    <row r="524">
      <c r="A524" s="57"/>
    </row>
    <row r="525">
      <c r="A525" s="57"/>
    </row>
    <row r="526">
      <c r="A526" s="57"/>
    </row>
    <row r="527">
      <c r="A527" s="57"/>
    </row>
    <row r="528">
      <c r="A528" s="57"/>
    </row>
    <row r="529">
      <c r="A529" s="57"/>
    </row>
    <row r="530">
      <c r="A530" s="57"/>
    </row>
    <row r="531">
      <c r="A531" s="57"/>
    </row>
    <row r="532">
      <c r="A532" s="57"/>
    </row>
    <row r="533">
      <c r="A533" s="57"/>
    </row>
    <row r="534">
      <c r="A534" s="57"/>
    </row>
    <row r="535">
      <c r="A535" s="57"/>
    </row>
    <row r="536">
      <c r="A536" s="57"/>
    </row>
    <row r="537">
      <c r="A537" s="57"/>
    </row>
    <row r="538">
      <c r="A538" s="57"/>
    </row>
    <row r="539">
      <c r="A539" s="57"/>
    </row>
    <row r="540">
      <c r="A540" s="57"/>
    </row>
    <row r="541">
      <c r="A541" s="57"/>
    </row>
    <row r="542">
      <c r="A542" s="57"/>
    </row>
    <row r="543">
      <c r="A543" s="57"/>
    </row>
    <row r="544">
      <c r="A544" s="57"/>
    </row>
    <row r="545">
      <c r="A545" s="57"/>
    </row>
    <row r="546">
      <c r="A546" s="57"/>
    </row>
    <row r="547">
      <c r="A547" s="57"/>
    </row>
    <row r="548">
      <c r="A548" s="57"/>
    </row>
    <row r="549">
      <c r="A549" s="57"/>
    </row>
    <row r="550">
      <c r="A550" s="57"/>
    </row>
    <row r="551">
      <c r="A551" s="57"/>
    </row>
    <row r="552">
      <c r="A552" s="57"/>
    </row>
    <row r="553">
      <c r="A553" s="57"/>
    </row>
    <row r="554">
      <c r="A554" s="57"/>
    </row>
    <row r="555">
      <c r="A555" s="57"/>
    </row>
    <row r="556">
      <c r="A556" s="57"/>
    </row>
    <row r="557">
      <c r="A557" s="57"/>
    </row>
    <row r="558">
      <c r="A558" s="57"/>
    </row>
    <row r="559">
      <c r="A559" s="57"/>
    </row>
    <row r="560">
      <c r="A560" s="57"/>
    </row>
    <row r="561">
      <c r="A561" s="57"/>
    </row>
    <row r="562">
      <c r="A562" s="57"/>
    </row>
    <row r="563">
      <c r="A563" s="57"/>
    </row>
    <row r="564">
      <c r="A564" s="57"/>
    </row>
    <row r="565">
      <c r="A565" s="57"/>
    </row>
    <row r="566">
      <c r="A566" s="57"/>
    </row>
    <row r="567">
      <c r="A567" s="57"/>
    </row>
    <row r="568">
      <c r="A568" s="57"/>
    </row>
    <row r="569">
      <c r="A569" s="57"/>
    </row>
    <row r="570">
      <c r="A570" s="57"/>
    </row>
    <row r="571">
      <c r="A571" s="57"/>
    </row>
    <row r="572">
      <c r="A572" s="57"/>
    </row>
    <row r="573">
      <c r="A573" s="57"/>
    </row>
    <row r="574">
      <c r="A574" s="57"/>
    </row>
    <row r="575">
      <c r="A575" s="57"/>
    </row>
    <row r="576">
      <c r="A576" s="57"/>
    </row>
    <row r="577">
      <c r="A577" s="57"/>
    </row>
    <row r="578">
      <c r="A578" s="57"/>
    </row>
    <row r="579">
      <c r="A579" s="57"/>
    </row>
    <row r="580">
      <c r="A580" s="57"/>
    </row>
    <row r="581">
      <c r="A581" s="57"/>
    </row>
    <row r="582">
      <c r="A582" s="57"/>
    </row>
    <row r="583">
      <c r="A583" s="57"/>
    </row>
    <row r="584">
      <c r="A584" s="57"/>
    </row>
    <row r="585">
      <c r="A585" s="57"/>
    </row>
    <row r="586">
      <c r="A586" s="57"/>
    </row>
    <row r="587">
      <c r="A587" s="57"/>
    </row>
    <row r="588">
      <c r="A588" s="57"/>
    </row>
    <row r="589">
      <c r="A589" s="57"/>
    </row>
    <row r="590">
      <c r="A590" s="57"/>
    </row>
    <row r="591">
      <c r="A591" s="57"/>
    </row>
    <row r="592">
      <c r="A592" s="57"/>
    </row>
    <row r="593">
      <c r="A593" s="57"/>
    </row>
    <row r="594">
      <c r="A594" s="57"/>
    </row>
    <row r="595">
      <c r="A595" s="57"/>
    </row>
    <row r="596">
      <c r="A596" s="57"/>
    </row>
    <row r="597">
      <c r="A597" s="57"/>
    </row>
    <row r="598">
      <c r="A598" s="57"/>
    </row>
    <row r="599">
      <c r="A599" s="57"/>
    </row>
    <row r="600">
      <c r="A600" s="57"/>
    </row>
    <row r="601">
      <c r="A601" s="57"/>
    </row>
    <row r="602">
      <c r="A602" s="57"/>
    </row>
    <row r="603">
      <c r="A603" s="57"/>
    </row>
    <row r="604">
      <c r="A604" s="57"/>
    </row>
    <row r="605">
      <c r="A605" s="57"/>
    </row>
    <row r="606">
      <c r="A606" s="57"/>
    </row>
    <row r="607">
      <c r="A607" s="57"/>
    </row>
    <row r="608">
      <c r="A608" s="57"/>
    </row>
    <row r="609">
      <c r="A609" s="57"/>
    </row>
    <row r="610">
      <c r="A610" s="57"/>
    </row>
    <row r="611">
      <c r="A611" s="57"/>
    </row>
    <row r="612">
      <c r="A612" s="57"/>
    </row>
    <row r="613">
      <c r="A613" s="57"/>
    </row>
    <row r="614">
      <c r="A614" s="57"/>
    </row>
    <row r="615">
      <c r="A615" s="57"/>
    </row>
    <row r="616">
      <c r="A616" s="57"/>
    </row>
    <row r="617">
      <c r="A617" s="57"/>
    </row>
    <row r="618">
      <c r="A618" s="57"/>
    </row>
    <row r="619">
      <c r="A619" s="57"/>
    </row>
    <row r="620">
      <c r="A620" s="57"/>
    </row>
    <row r="621">
      <c r="A621" s="57"/>
    </row>
    <row r="622">
      <c r="A622" s="57"/>
    </row>
    <row r="623">
      <c r="A623" s="57"/>
    </row>
    <row r="624">
      <c r="A624" s="57"/>
    </row>
    <row r="625">
      <c r="A625" s="57"/>
    </row>
    <row r="626">
      <c r="A626" s="57"/>
    </row>
    <row r="627">
      <c r="A627" s="57"/>
    </row>
    <row r="628">
      <c r="A628" s="57"/>
    </row>
    <row r="629">
      <c r="A629" s="57"/>
    </row>
    <row r="630">
      <c r="A630" s="57"/>
    </row>
    <row r="631">
      <c r="A631" s="57"/>
    </row>
    <row r="632">
      <c r="A632" s="57"/>
    </row>
    <row r="633">
      <c r="A633" s="57"/>
    </row>
    <row r="634">
      <c r="A634" s="57"/>
    </row>
    <row r="635">
      <c r="A635" s="57"/>
    </row>
    <row r="636">
      <c r="A636" s="57"/>
    </row>
    <row r="637">
      <c r="A637" s="57"/>
    </row>
    <row r="638">
      <c r="A638" s="57"/>
    </row>
    <row r="639">
      <c r="A639" s="57"/>
    </row>
    <row r="640">
      <c r="A640" s="57"/>
    </row>
    <row r="641">
      <c r="A641" s="57"/>
    </row>
    <row r="642">
      <c r="A642" s="57"/>
    </row>
    <row r="643">
      <c r="A643" s="57"/>
    </row>
    <row r="644">
      <c r="A644" s="57"/>
    </row>
    <row r="645">
      <c r="A645" s="57"/>
    </row>
    <row r="646">
      <c r="A646" s="57"/>
    </row>
    <row r="647">
      <c r="A647" s="57"/>
    </row>
    <row r="648">
      <c r="A648" s="57"/>
    </row>
    <row r="649">
      <c r="A649" s="57"/>
    </row>
    <row r="650">
      <c r="A650" s="57"/>
    </row>
    <row r="651">
      <c r="A651" s="57"/>
    </row>
    <row r="652">
      <c r="A652" s="57"/>
    </row>
    <row r="653">
      <c r="A653" s="57"/>
    </row>
    <row r="654">
      <c r="A654" s="57"/>
    </row>
    <row r="655">
      <c r="A655" s="57"/>
    </row>
    <row r="656">
      <c r="A656" s="57"/>
    </row>
    <row r="657">
      <c r="A657" s="57"/>
    </row>
    <row r="658">
      <c r="A658" s="57"/>
    </row>
    <row r="659">
      <c r="A659" s="57"/>
    </row>
    <row r="660">
      <c r="A660" s="57"/>
    </row>
    <row r="661">
      <c r="A661" s="57"/>
    </row>
    <row r="662">
      <c r="A662" s="57"/>
    </row>
    <row r="663">
      <c r="A663" s="57"/>
    </row>
    <row r="664">
      <c r="A664" s="57"/>
    </row>
    <row r="665">
      <c r="A665" s="57"/>
    </row>
    <row r="666">
      <c r="A666" s="57"/>
    </row>
    <row r="667">
      <c r="A667" s="57"/>
    </row>
    <row r="668">
      <c r="A668" s="57"/>
    </row>
    <row r="669">
      <c r="A669" s="57"/>
    </row>
    <row r="670">
      <c r="A670" s="57"/>
    </row>
    <row r="671">
      <c r="A671" s="57"/>
    </row>
    <row r="672">
      <c r="A672" s="57"/>
    </row>
    <row r="673">
      <c r="A673" s="57"/>
    </row>
    <row r="674">
      <c r="A674" s="57"/>
    </row>
    <row r="675">
      <c r="A675" s="57"/>
    </row>
    <row r="676">
      <c r="A676" s="57"/>
    </row>
    <row r="677">
      <c r="A677" s="57"/>
    </row>
    <row r="678">
      <c r="A678" s="57"/>
    </row>
    <row r="679">
      <c r="A679" s="57"/>
    </row>
    <row r="680">
      <c r="A680" s="57"/>
    </row>
    <row r="681">
      <c r="A681" s="57"/>
    </row>
    <row r="682">
      <c r="A682" s="57"/>
    </row>
    <row r="683">
      <c r="A683" s="57"/>
    </row>
    <row r="684">
      <c r="A684" s="57"/>
    </row>
    <row r="685">
      <c r="A685" s="57"/>
    </row>
    <row r="686">
      <c r="A686" s="57"/>
    </row>
    <row r="687">
      <c r="A687" s="57"/>
    </row>
    <row r="688">
      <c r="A688" s="57"/>
    </row>
    <row r="689">
      <c r="A689" s="57"/>
    </row>
    <row r="690">
      <c r="A690" s="57"/>
    </row>
    <row r="691">
      <c r="A691" s="57"/>
    </row>
    <row r="692">
      <c r="A692" s="57"/>
    </row>
    <row r="693">
      <c r="A693" s="57"/>
    </row>
    <row r="694">
      <c r="A694" s="57"/>
    </row>
    <row r="695">
      <c r="A695" s="57"/>
    </row>
    <row r="696">
      <c r="A696" s="57"/>
    </row>
    <row r="697">
      <c r="A697" s="57"/>
    </row>
    <row r="698">
      <c r="A698" s="57"/>
    </row>
    <row r="699">
      <c r="A699" s="57"/>
    </row>
    <row r="700">
      <c r="A700" s="57"/>
    </row>
    <row r="701">
      <c r="A701" s="57"/>
    </row>
    <row r="702">
      <c r="A702" s="57"/>
    </row>
    <row r="703">
      <c r="A703" s="57"/>
    </row>
    <row r="704">
      <c r="A704" s="57"/>
    </row>
    <row r="705">
      <c r="A705" s="57"/>
    </row>
    <row r="706">
      <c r="A706" s="57"/>
    </row>
    <row r="707">
      <c r="A707" s="57"/>
    </row>
    <row r="708">
      <c r="A708" s="57"/>
    </row>
    <row r="709">
      <c r="A709" s="57"/>
    </row>
    <row r="710">
      <c r="A710" s="57"/>
    </row>
    <row r="711">
      <c r="A711" s="57"/>
    </row>
    <row r="712">
      <c r="A712" s="57"/>
    </row>
    <row r="713">
      <c r="A713" s="57"/>
    </row>
    <row r="714">
      <c r="A714" s="57"/>
    </row>
    <row r="715">
      <c r="A715" s="57"/>
    </row>
    <row r="716">
      <c r="A716" s="57"/>
    </row>
    <row r="717">
      <c r="A717" s="57"/>
    </row>
    <row r="718">
      <c r="A718" s="57"/>
    </row>
    <row r="719">
      <c r="A719" s="57"/>
    </row>
    <row r="720">
      <c r="A720" s="57"/>
    </row>
    <row r="721">
      <c r="A721" s="57"/>
    </row>
    <row r="722">
      <c r="A722" s="57"/>
    </row>
    <row r="723">
      <c r="A723" s="57"/>
    </row>
    <row r="724">
      <c r="A724" s="57"/>
    </row>
    <row r="725">
      <c r="A725" s="57"/>
    </row>
    <row r="726">
      <c r="A726" s="57"/>
    </row>
    <row r="727">
      <c r="A727" s="57"/>
    </row>
    <row r="728">
      <c r="A728" s="57"/>
    </row>
    <row r="729">
      <c r="A729" s="57"/>
    </row>
    <row r="730">
      <c r="A730" s="57"/>
    </row>
    <row r="731">
      <c r="A731" s="57"/>
    </row>
    <row r="732">
      <c r="A732" s="57"/>
    </row>
    <row r="733">
      <c r="A733" s="57"/>
    </row>
    <row r="734">
      <c r="A734" s="57"/>
    </row>
    <row r="735">
      <c r="A735" s="57"/>
    </row>
    <row r="736">
      <c r="A736" s="57"/>
    </row>
    <row r="737">
      <c r="A737" s="57"/>
    </row>
    <row r="738">
      <c r="A738" s="57"/>
    </row>
    <row r="739">
      <c r="A739" s="57"/>
    </row>
    <row r="740">
      <c r="A740" s="57"/>
    </row>
    <row r="741">
      <c r="A741" s="57"/>
    </row>
    <row r="742">
      <c r="A742" s="57"/>
    </row>
    <row r="743">
      <c r="A743" s="57"/>
    </row>
    <row r="744">
      <c r="A744" s="57"/>
    </row>
    <row r="745">
      <c r="A745" s="57"/>
    </row>
    <row r="746">
      <c r="A746" s="57"/>
    </row>
    <row r="747">
      <c r="A747" s="57"/>
    </row>
    <row r="748">
      <c r="A748" s="57"/>
    </row>
    <row r="749">
      <c r="A749" s="57"/>
    </row>
    <row r="750">
      <c r="A750" s="57"/>
    </row>
    <row r="751">
      <c r="A751" s="57"/>
    </row>
    <row r="752">
      <c r="A752" s="57"/>
    </row>
    <row r="753">
      <c r="A753" s="57"/>
    </row>
    <row r="754">
      <c r="A754" s="57"/>
    </row>
    <row r="755">
      <c r="A755" s="57"/>
    </row>
    <row r="756">
      <c r="A756" s="57"/>
    </row>
    <row r="757">
      <c r="A757" s="57"/>
    </row>
    <row r="758">
      <c r="A758" s="57"/>
    </row>
    <row r="759">
      <c r="A759" s="57"/>
    </row>
    <row r="760">
      <c r="A760" s="57"/>
    </row>
    <row r="761">
      <c r="A761" s="57"/>
    </row>
    <row r="762">
      <c r="A762" s="57"/>
    </row>
    <row r="763">
      <c r="A763" s="57"/>
    </row>
    <row r="764">
      <c r="A764" s="57"/>
    </row>
    <row r="765">
      <c r="A765" s="57"/>
    </row>
    <row r="766">
      <c r="A766" s="57"/>
    </row>
    <row r="767">
      <c r="A767" s="57"/>
    </row>
    <row r="768">
      <c r="A768" s="57"/>
    </row>
    <row r="769">
      <c r="A769" s="57"/>
    </row>
    <row r="770">
      <c r="A770" s="57"/>
    </row>
    <row r="771">
      <c r="A771" s="57"/>
    </row>
    <row r="772">
      <c r="A772" s="57"/>
    </row>
    <row r="773">
      <c r="A773" s="57"/>
    </row>
    <row r="774">
      <c r="A774" s="57"/>
    </row>
    <row r="775">
      <c r="A775" s="57"/>
    </row>
    <row r="776">
      <c r="A776" s="57"/>
    </row>
    <row r="777">
      <c r="A777" s="57"/>
    </row>
    <row r="778">
      <c r="A778" s="57"/>
    </row>
    <row r="779">
      <c r="A779" s="57"/>
    </row>
    <row r="780">
      <c r="A780" s="57"/>
    </row>
    <row r="781">
      <c r="A781" s="57"/>
    </row>
    <row r="782">
      <c r="A782" s="57"/>
    </row>
    <row r="783">
      <c r="A783" s="57"/>
    </row>
    <row r="784">
      <c r="A784" s="57"/>
    </row>
    <row r="785">
      <c r="A785" s="57"/>
    </row>
    <row r="786">
      <c r="A786" s="57"/>
    </row>
    <row r="787">
      <c r="A787" s="57"/>
    </row>
    <row r="788">
      <c r="A788" s="57"/>
    </row>
    <row r="789">
      <c r="A789" s="57"/>
    </row>
    <row r="790">
      <c r="A790" s="57"/>
    </row>
    <row r="791">
      <c r="A791" s="57"/>
    </row>
    <row r="792">
      <c r="A792" s="57"/>
    </row>
    <row r="793">
      <c r="A793" s="57"/>
    </row>
    <row r="794">
      <c r="A794" s="57"/>
    </row>
    <row r="795">
      <c r="A795" s="57"/>
    </row>
    <row r="796">
      <c r="A796" s="57"/>
    </row>
    <row r="797">
      <c r="A797" s="57"/>
    </row>
    <row r="798">
      <c r="A798" s="57"/>
    </row>
    <row r="799">
      <c r="A799" s="57"/>
    </row>
    <row r="800">
      <c r="A800" s="57"/>
    </row>
    <row r="801">
      <c r="A801" s="57"/>
    </row>
    <row r="802">
      <c r="A802" s="57"/>
    </row>
    <row r="803">
      <c r="A803" s="57"/>
    </row>
    <row r="804">
      <c r="A804" s="57"/>
    </row>
    <row r="805">
      <c r="A805" s="57"/>
    </row>
    <row r="806">
      <c r="A806" s="57"/>
    </row>
    <row r="807">
      <c r="A807" s="57"/>
    </row>
    <row r="808">
      <c r="A808" s="57"/>
    </row>
    <row r="809">
      <c r="A809" s="57"/>
    </row>
    <row r="810">
      <c r="A810" s="57"/>
    </row>
    <row r="811">
      <c r="A811" s="57"/>
    </row>
    <row r="812">
      <c r="A812" s="57"/>
    </row>
    <row r="813">
      <c r="A813" s="57"/>
    </row>
    <row r="814">
      <c r="A814" s="57"/>
    </row>
    <row r="815">
      <c r="A815" s="57"/>
    </row>
    <row r="816">
      <c r="A816" s="57"/>
    </row>
    <row r="817">
      <c r="A817" s="57"/>
    </row>
    <row r="818">
      <c r="A818" s="57"/>
    </row>
    <row r="819">
      <c r="A819" s="57"/>
    </row>
    <row r="820">
      <c r="A820" s="57"/>
    </row>
    <row r="821">
      <c r="A821" s="57"/>
    </row>
    <row r="822">
      <c r="A822" s="57"/>
    </row>
    <row r="823">
      <c r="A823" s="57"/>
    </row>
    <row r="824">
      <c r="A824" s="57"/>
    </row>
    <row r="825">
      <c r="A825" s="57"/>
    </row>
    <row r="826">
      <c r="A826" s="57"/>
    </row>
    <row r="827">
      <c r="A827" s="57"/>
    </row>
    <row r="828">
      <c r="A828" s="57"/>
    </row>
    <row r="829">
      <c r="A829" s="57"/>
    </row>
    <row r="830">
      <c r="A830" s="57"/>
    </row>
    <row r="831">
      <c r="A831" s="57"/>
    </row>
    <row r="832">
      <c r="A832" s="57"/>
    </row>
    <row r="833">
      <c r="A833" s="57"/>
    </row>
    <row r="834">
      <c r="A834" s="57"/>
    </row>
    <row r="835">
      <c r="A835" s="57"/>
    </row>
    <row r="836">
      <c r="A836" s="57"/>
    </row>
    <row r="837">
      <c r="A837" s="57"/>
    </row>
    <row r="838">
      <c r="A838" s="57"/>
    </row>
    <row r="839">
      <c r="A839" s="57"/>
    </row>
    <row r="840">
      <c r="A840" s="57"/>
    </row>
    <row r="841">
      <c r="A841" s="57"/>
    </row>
    <row r="842">
      <c r="A842" s="57"/>
    </row>
    <row r="843">
      <c r="A843" s="57"/>
    </row>
    <row r="844">
      <c r="A844" s="57"/>
    </row>
    <row r="845">
      <c r="A845" s="57"/>
    </row>
    <row r="846">
      <c r="A846" s="57"/>
    </row>
    <row r="847">
      <c r="A847" s="57"/>
    </row>
    <row r="848">
      <c r="A848" s="57"/>
    </row>
    <row r="849">
      <c r="A849" s="57"/>
    </row>
    <row r="850">
      <c r="A850" s="57"/>
    </row>
    <row r="851">
      <c r="A851" s="57"/>
    </row>
    <row r="852">
      <c r="A852" s="57"/>
    </row>
    <row r="853">
      <c r="A853" s="57"/>
    </row>
    <row r="854">
      <c r="A854" s="57"/>
    </row>
    <row r="855">
      <c r="A855" s="57"/>
    </row>
    <row r="856">
      <c r="A856" s="57"/>
    </row>
    <row r="857">
      <c r="A857" s="57"/>
    </row>
    <row r="858">
      <c r="A858" s="57"/>
    </row>
    <row r="859">
      <c r="A859" s="57"/>
    </row>
    <row r="860">
      <c r="A860" s="57"/>
    </row>
    <row r="861">
      <c r="A861" s="57"/>
    </row>
    <row r="862">
      <c r="A862" s="57"/>
    </row>
    <row r="863">
      <c r="A863" s="57"/>
    </row>
    <row r="864">
      <c r="A864" s="57"/>
    </row>
    <row r="865">
      <c r="A865" s="57"/>
    </row>
    <row r="866">
      <c r="A866" s="57"/>
    </row>
    <row r="867">
      <c r="A867" s="57"/>
    </row>
    <row r="868">
      <c r="A868" s="57"/>
    </row>
    <row r="869">
      <c r="A869" s="57"/>
    </row>
    <row r="870">
      <c r="A870" s="57"/>
    </row>
    <row r="871">
      <c r="A871" s="57"/>
    </row>
    <row r="872">
      <c r="A872" s="57"/>
    </row>
    <row r="873">
      <c r="A873" s="57"/>
    </row>
    <row r="874">
      <c r="A874" s="57"/>
    </row>
    <row r="875">
      <c r="A875" s="57"/>
    </row>
    <row r="876">
      <c r="A876" s="57"/>
    </row>
    <row r="877">
      <c r="A877" s="57"/>
    </row>
    <row r="878">
      <c r="A878" s="57"/>
    </row>
    <row r="879">
      <c r="A879" s="57"/>
    </row>
    <row r="880">
      <c r="A880" s="57"/>
    </row>
    <row r="881">
      <c r="A881" s="57"/>
    </row>
    <row r="882">
      <c r="A882" s="57"/>
    </row>
    <row r="883">
      <c r="A883" s="57"/>
    </row>
    <row r="884">
      <c r="A884" s="57"/>
    </row>
    <row r="885">
      <c r="A885" s="57"/>
    </row>
    <row r="886">
      <c r="A886" s="57"/>
    </row>
    <row r="887">
      <c r="A887" s="57"/>
    </row>
    <row r="888">
      <c r="A888" s="57"/>
    </row>
    <row r="889">
      <c r="A889" s="57"/>
    </row>
    <row r="890">
      <c r="A890" s="57"/>
    </row>
    <row r="891">
      <c r="A891" s="57"/>
    </row>
    <row r="892">
      <c r="A892" s="57"/>
    </row>
    <row r="893">
      <c r="A893" s="57"/>
    </row>
    <row r="894">
      <c r="A894" s="57"/>
    </row>
    <row r="895">
      <c r="A895" s="57"/>
    </row>
    <row r="896">
      <c r="A896" s="57"/>
    </row>
    <row r="897">
      <c r="A897" s="57"/>
    </row>
    <row r="898">
      <c r="A898" s="57"/>
    </row>
    <row r="899">
      <c r="A899" s="57"/>
    </row>
    <row r="900">
      <c r="A900" s="57"/>
    </row>
    <row r="901">
      <c r="A901" s="57"/>
    </row>
    <row r="902">
      <c r="A902" s="57"/>
    </row>
    <row r="903">
      <c r="A903" s="57"/>
    </row>
    <row r="904">
      <c r="A904" s="57"/>
    </row>
    <row r="905">
      <c r="A905" s="57"/>
    </row>
    <row r="906">
      <c r="A906" s="57"/>
    </row>
    <row r="907">
      <c r="A907" s="57"/>
    </row>
    <row r="908">
      <c r="A908" s="57"/>
    </row>
    <row r="909">
      <c r="A909" s="57"/>
    </row>
    <row r="910">
      <c r="A910" s="57"/>
    </row>
    <row r="911">
      <c r="A911" s="57"/>
    </row>
    <row r="912">
      <c r="A912" s="57"/>
    </row>
    <row r="913">
      <c r="A913" s="57"/>
    </row>
    <row r="914">
      <c r="A914" s="57"/>
    </row>
    <row r="915">
      <c r="A915" s="57"/>
    </row>
    <row r="916">
      <c r="A916" s="57"/>
    </row>
    <row r="917">
      <c r="A917" s="57"/>
    </row>
    <row r="918">
      <c r="A918" s="57"/>
    </row>
    <row r="919">
      <c r="A919" s="57"/>
    </row>
    <row r="920">
      <c r="A920" s="57"/>
    </row>
    <row r="921">
      <c r="A921" s="57"/>
    </row>
    <row r="922">
      <c r="A922" s="57"/>
    </row>
    <row r="923">
      <c r="A923" s="57"/>
    </row>
    <row r="924">
      <c r="A924" s="57"/>
    </row>
    <row r="925">
      <c r="A925" s="57"/>
    </row>
    <row r="926">
      <c r="A926" s="57"/>
    </row>
    <row r="927">
      <c r="A927" s="57"/>
    </row>
    <row r="928">
      <c r="A928" s="57"/>
    </row>
    <row r="929">
      <c r="A929" s="57"/>
    </row>
    <row r="930">
      <c r="A930" s="57"/>
    </row>
    <row r="931">
      <c r="A931" s="57"/>
    </row>
    <row r="932">
      <c r="A932" s="57"/>
    </row>
    <row r="933">
      <c r="A933" s="57"/>
    </row>
    <row r="934">
      <c r="A934" s="57"/>
    </row>
    <row r="935">
      <c r="A935" s="57"/>
    </row>
    <row r="936">
      <c r="A936" s="57"/>
    </row>
    <row r="937">
      <c r="A937" s="57"/>
    </row>
    <row r="938">
      <c r="A938" s="57"/>
    </row>
    <row r="939">
      <c r="A939" s="57"/>
    </row>
    <row r="940">
      <c r="A940" s="57"/>
    </row>
    <row r="941">
      <c r="A941" s="57"/>
    </row>
    <row r="942">
      <c r="A942" s="57"/>
    </row>
    <row r="943">
      <c r="A943" s="57"/>
    </row>
    <row r="944">
      <c r="A944" s="57"/>
    </row>
    <row r="945">
      <c r="A945" s="57"/>
    </row>
    <row r="946">
      <c r="A946" s="57"/>
    </row>
    <row r="947">
      <c r="A947" s="57"/>
    </row>
    <row r="948">
      <c r="A948" s="57"/>
    </row>
    <row r="949">
      <c r="A949" s="57"/>
    </row>
    <row r="950">
      <c r="A950" s="57"/>
    </row>
    <row r="951">
      <c r="A951" s="57"/>
    </row>
    <row r="952">
      <c r="A952" s="57"/>
    </row>
    <row r="953">
      <c r="A953" s="57"/>
    </row>
    <row r="954">
      <c r="A954" s="57"/>
    </row>
    <row r="955">
      <c r="A955" s="57"/>
    </row>
    <row r="956">
      <c r="A956" s="57"/>
    </row>
    <row r="957">
      <c r="A957" s="57"/>
    </row>
    <row r="958">
      <c r="A958" s="57"/>
    </row>
    <row r="959">
      <c r="A959" s="57"/>
    </row>
    <row r="960">
      <c r="A960" s="57"/>
    </row>
    <row r="961">
      <c r="A961" s="57"/>
    </row>
    <row r="962">
      <c r="A962" s="57"/>
    </row>
    <row r="963">
      <c r="A963" s="57"/>
    </row>
    <row r="964">
      <c r="A964" s="57"/>
    </row>
    <row r="965">
      <c r="A965" s="57"/>
    </row>
    <row r="966">
      <c r="A966" s="57"/>
    </row>
    <row r="967">
      <c r="A967" s="57"/>
    </row>
    <row r="968">
      <c r="A968" s="57"/>
    </row>
    <row r="969">
      <c r="A969" s="57"/>
    </row>
    <row r="970">
      <c r="A970" s="57"/>
    </row>
    <row r="971">
      <c r="A971" s="57"/>
    </row>
    <row r="972">
      <c r="A972" s="57"/>
    </row>
    <row r="973">
      <c r="A973" s="57"/>
    </row>
    <row r="974">
      <c r="A974" s="57"/>
    </row>
    <row r="975">
      <c r="A975" s="57"/>
    </row>
    <row r="976">
      <c r="A976" s="57"/>
    </row>
    <row r="977">
      <c r="A977" s="57"/>
    </row>
    <row r="978">
      <c r="A978" s="57"/>
    </row>
    <row r="979">
      <c r="A979" s="57"/>
    </row>
    <row r="980">
      <c r="A980" s="57"/>
    </row>
    <row r="981">
      <c r="A981" s="57"/>
    </row>
    <row r="982">
      <c r="A982" s="57"/>
    </row>
    <row r="983">
      <c r="A983" s="57"/>
    </row>
    <row r="984">
      <c r="A984" s="57"/>
    </row>
    <row r="985">
      <c r="A985" s="57"/>
    </row>
    <row r="986">
      <c r="A986" s="57"/>
    </row>
    <row r="987">
      <c r="A987" s="57"/>
    </row>
    <row r="988">
      <c r="A988" s="57"/>
    </row>
    <row r="989">
      <c r="A989" s="57"/>
    </row>
    <row r="990">
      <c r="A990" s="57"/>
    </row>
    <row r="991">
      <c r="A991" s="57"/>
    </row>
    <row r="992">
      <c r="A992" s="57"/>
    </row>
    <row r="993">
      <c r="A993" s="57"/>
    </row>
    <row r="994">
      <c r="A994" s="57"/>
    </row>
    <row r="995">
      <c r="A995" s="57"/>
    </row>
    <row r="996">
      <c r="A996" s="57"/>
    </row>
    <row r="997">
      <c r="A997" s="57"/>
    </row>
    <row r="998">
      <c r="A998" s="57"/>
    </row>
    <row r="999">
      <c r="A999" s="57"/>
    </row>
    <row r="1000">
      <c r="A1000" s="57"/>
    </row>
  </sheetData>
  <drawing r:id="rId1"/>
</worksheet>
</file>